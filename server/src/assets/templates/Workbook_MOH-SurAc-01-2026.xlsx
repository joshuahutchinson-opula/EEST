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echsystemsltd.sharepoint.com/sites/Tenders/Shared Documents/Projects Won/MoH - ARC Building (Awarded)/MOH ARC Building, 15 Knutsford Boulevard/"/>
    </mc:Choice>
  </mc:AlternateContent>
  <xr:revisionPtr revIDLastSave="901" documentId="13_ncr:1_{A2450FAB-CFCA-4D62-B37C-5708DDFBE080}" xr6:coauthVersionLast="47" xr6:coauthVersionMax="47" xr10:uidLastSave="{7F2F3162-5A69-45F5-805C-6946F59A00C6}"/>
  <bookViews>
    <workbookView xWindow="39405" yWindow="0" windowWidth="17715" windowHeight="15615" activeTab="2" xr2:uid="{6BED0D18-47EE-470E-8247-5FCC155CA42C}"/>
  </bookViews>
  <sheets>
    <sheet name="Synthesis " sheetId="13" r:id="rId1"/>
    <sheet name="VSS" sheetId="3" r:id="rId2"/>
    <sheet name="Workbook VSS" sheetId="1" r:id="rId3"/>
    <sheet name="VSS BoM" sheetId="2" r:id="rId4"/>
    <sheet name="EAC" sheetId="14" r:id="rId5"/>
    <sheet name="Workbook EAC" sheetId="5" r:id="rId6"/>
    <sheet name="EAC BoM" sheetId="11" r:id="rId7"/>
    <sheet name="Intercom" sheetId="7" r:id="rId8"/>
    <sheet name="Intercom BoM" sheetId="8" r:id="rId9"/>
  </sheets>
  <definedNames>
    <definedName name="_xlnm.Print_Area" localSheetId="0">'Synthesis '!$B$1:$E$26</definedName>
    <definedName name="_xlnm.Print_Titles" localSheetId="0">'Synthesis '!$5:$7</definedName>
    <definedName name="USD" localSheetId="4">#REF!</definedName>
    <definedName name="US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5" l="1"/>
  <c r="I59" i="5"/>
  <c r="I60" i="5"/>
  <c r="I57" i="5"/>
  <c r="I31" i="5"/>
  <c r="I32" i="5"/>
  <c r="I30" i="5"/>
  <c r="I49" i="5"/>
  <c r="I50" i="5"/>
  <c r="I51" i="5"/>
  <c r="I52" i="5"/>
  <c r="I48" i="5"/>
  <c r="J22" i="5"/>
  <c r="I22" i="5"/>
  <c r="K2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3" i="5"/>
  <c r="T21" i="5" l="1"/>
  <c r="D48" i="1" l="1"/>
  <c r="C49" i="1"/>
  <c r="C48" i="1"/>
  <c r="I40" i="1"/>
  <c r="I41" i="1"/>
  <c r="I42" i="1"/>
  <c r="I39" i="1"/>
  <c r="I33" i="1"/>
  <c r="I34" i="1"/>
  <c r="I35" i="1"/>
  <c r="I32" i="1"/>
  <c r="I26" i="1"/>
  <c r="I27" i="1"/>
  <c r="I25" i="1"/>
  <c r="D19" i="1"/>
  <c r="I18" i="1"/>
  <c r="I19" i="1"/>
  <c r="I20" i="1"/>
  <c r="I21" i="1"/>
  <c r="I17" i="1"/>
  <c r="D3" i="1"/>
  <c r="C7" i="2"/>
  <c r="D20" i="1"/>
  <c r="D4" i="1"/>
  <c r="E7" i="11"/>
  <c r="E36" i="2"/>
  <c r="C28" i="11"/>
  <c r="E48" i="11" l="1"/>
  <c r="C25" i="11"/>
  <c r="E14" i="2"/>
  <c r="C14" i="2"/>
  <c r="D49" i="5" l="1"/>
  <c r="D50" i="5"/>
  <c r="D51" i="5"/>
  <c r="D52" i="5"/>
  <c r="D48" i="5"/>
  <c r="D31" i="5"/>
  <c r="D32" i="5"/>
  <c r="D30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3" i="5"/>
  <c r="D11" i="1"/>
  <c r="D12" i="1"/>
  <c r="D10" i="1"/>
  <c r="D14" i="2"/>
  <c r="B5" i="1"/>
  <c r="D18" i="11"/>
  <c r="D10" i="11"/>
  <c r="D33" i="1"/>
  <c r="D34" i="1"/>
  <c r="D35" i="1"/>
  <c r="D32" i="1"/>
  <c r="D26" i="1"/>
  <c r="D27" i="1"/>
  <c r="D25" i="1"/>
  <c r="D18" i="1"/>
  <c r="D21" i="1"/>
  <c r="D17" i="1"/>
  <c r="C35" i="11"/>
  <c r="C32" i="11"/>
  <c r="C33" i="11"/>
  <c r="C31" i="11"/>
  <c r="D35" i="11"/>
  <c r="H58" i="5"/>
  <c r="H59" i="5"/>
  <c r="H60" i="5"/>
  <c r="G58" i="5"/>
  <c r="G59" i="5"/>
  <c r="G60" i="5"/>
  <c r="F58" i="5"/>
  <c r="F59" i="5"/>
  <c r="F60" i="5"/>
  <c r="E58" i="5"/>
  <c r="E59" i="5"/>
  <c r="E60" i="5"/>
  <c r="D32" i="11"/>
  <c r="D33" i="11"/>
  <c r="D58" i="5"/>
  <c r="D59" i="5"/>
  <c r="D34" i="2"/>
  <c r="D35" i="2"/>
  <c r="F4" i="5"/>
  <c r="H4" i="5"/>
  <c r="E5" i="5" l="1"/>
  <c r="C11" i="11" s="1"/>
  <c r="E4" i="5"/>
  <c r="D57" i="5"/>
  <c r="D6" i="11"/>
  <c r="K52" i="14"/>
  <c r="M52" i="14"/>
  <c r="M54" i="14" s="1"/>
  <c r="B5" i="5" s="1"/>
  <c r="D11" i="11" s="1"/>
  <c r="G52" i="14"/>
  <c r="B9" i="5"/>
  <c r="B11" i="5"/>
  <c r="B10" i="5"/>
  <c r="F40" i="1"/>
  <c r="F41" i="1"/>
  <c r="D40" i="1"/>
  <c r="H40" i="1" s="1"/>
  <c r="D41" i="1"/>
  <c r="H41" i="1" s="1"/>
  <c r="D5" i="1"/>
  <c r="D6" i="1"/>
  <c r="F21" i="1"/>
  <c r="F20" i="1"/>
  <c r="H21" i="1"/>
  <c r="H20" i="1"/>
  <c r="B18" i="1"/>
  <c r="D19" i="2" s="1"/>
  <c r="P40" i="3"/>
  <c r="Q40" i="3"/>
  <c r="B19" i="1" s="1"/>
  <c r="D20" i="2" s="1"/>
  <c r="R40" i="3"/>
  <c r="S40" i="3"/>
  <c r="B17" i="1" s="1"/>
  <c r="T40" i="3"/>
  <c r="U40" i="3"/>
  <c r="V40" i="3"/>
  <c r="Q52" i="14"/>
  <c r="L52" i="14"/>
  <c r="I52" i="14"/>
  <c r="H52" i="14"/>
  <c r="F52" i="14"/>
  <c r="F12" i="5"/>
  <c r="E12" i="5"/>
  <c r="E13" i="5"/>
  <c r="C19" i="11" s="1"/>
  <c r="E11" i="11" l="1"/>
  <c r="G12" i="5"/>
  <c r="C18" i="11"/>
  <c r="E18" i="11" s="1"/>
  <c r="G4" i="5"/>
  <c r="C10" i="11"/>
  <c r="E10" i="11" s="1"/>
  <c r="B6" i="5"/>
  <c r="F5" i="5"/>
  <c r="G5" i="5"/>
  <c r="H5" i="5"/>
  <c r="B7" i="5"/>
  <c r="F7" i="5" s="1"/>
  <c r="H12" i="5"/>
  <c r="E41" i="1"/>
  <c r="E40" i="1"/>
  <c r="H19" i="1"/>
  <c r="H18" i="1"/>
  <c r="F19" i="1"/>
  <c r="F18" i="1"/>
  <c r="E20" i="1"/>
  <c r="G20" i="1" s="1"/>
  <c r="E19" i="1"/>
  <c r="E18" i="1"/>
  <c r="A24" i="13"/>
  <c r="A16" i="13"/>
  <c r="B25" i="13"/>
  <c r="B24" i="13"/>
  <c r="B23" i="13"/>
  <c r="B22" i="13"/>
  <c r="B21" i="13"/>
  <c r="B20" i="13"/>
  <c r="B17" i="13"/>
  <c r="B16" i="13"/>
  <c r="B15" i="13"/>
  <c r="B14" i="13"/>
  <c r="B13" i="13"/>
  <c r="B12" i="13"/>
  <c r="B11" i="13"/>
  <c r="B10" i="13"/>
  <c r="B9" i="13"/>
  <c r="D13" i="11"/>
  <c r="D14" i="11"/>
  <c r="D15" i="11"/>
  <c r="D16" i="11"/>
  <c r="D17" i="11"/>
  <c r="D24" i="13"/>
  <c r="D26" i="11"/>
  <c r="D27" i="11"/>
  <c r="D28" i="11"/>
  <c r="D5" i="11"/>
  <c r="E17" i="5"/>
  <c r="C38" i="11" s="1"/>
  <c r="D25" i="11"/>
  <c r="F11" i="5"/>
  <c r="H9" i="5"/>
  <c r="H10" i="5"/>
  <c r="H11" i="5"/>
  <c r="E14" i="5"/>
  <c r="C20" i="11" s="1"/>
  <c r="E15" i="5"/>
  <c r="C21" i="11" s="1"/>
  <c r="E16" i="5"/>
  <c r="C22" i="11" s="1"/>
  <c r="F8" i="5"/>
  <c r="F9" i="5"/>
  <c r="F10" i="5"/>
  <c r="F17" i="5"/>
  <c r="H8" i="5"/>
  <c r="F27" i="1"/>
  <c r="E26" i="1"/>
  <c r="C24" i="2" s="1"/>
  <c r="E27" i="1"/>
  <c r="E21" i="1"/>
  <c r="G21" i="1" s="1"/>
  <c r="D37" i="2"/>
  <c r="G40" i="1" l="1"/>
  <c r="C34" i="2"/>
  <c r="E34" i="2" s="1"/>
  <c r="G41" i="1"/>
  <c r="C35" i="2"/>
  <c r="E35" i="2" s="1"/>
  <c r="F6" i="5"/>
  <c r="D12" i="11"/>
  <c r="G18" i="1"/>
  <c r="C19" i="2"/>
  <c r="G19" i="1"/>
  <c r="C20" i="2"/>
  <c r="G17" i="5"/>
  <c r="H7" i="5"/>
  <c r="H6" i="5"/>
  <c r="E6" i="5"/>
  <c r="H27" i="1"/>
  <c r="G27" i="1"/>
  <c r="H17" i="5"/>
  <c r="E7" i="5"/>
  <c r="C13" i="11" s="1"/>
  <c r="E10" i="5"/>
  <c r="E11" i="5"/>
  <c r="E9" i="5"/>
  <c r="E8" i="5"/>
  <c r="C14" i="11" s="1"/>
  <c r="C15" i="11" l="1"/>
  <c r="E15" i="11" s="1"/>
  <c r="C17" i="11"/>
  <c r="E17" i="11" s="1"/>
  <c r="C16" i="11"/>
  <c r="E16" i="11" s="1"/>
  <c r="G6" i="5"/>
  <c r="C12" i="11"/>
  <c r="E12" i="11" s="1"/>
  <c r="E14" i="11"/>
  <c r="G8" i="5"/>
  <c r="E13" i="11"/>
  <c r="G7" i="5"/>
  <c r="G9" i="5"/>
  <c r="G10" i="5"/>
  <c r="G11" i="5"/>
  <c r="D15" i="2" l="1"/>
  <c r="E12" i="1" l="1"/>
  <c r="C15" i="2" s="1"/>
  <c r="F12" i="1"/>
  <c r="H12" i="1" l="1"/>
  <c r="G12" i="1"/>
  <c r="C40" i="2" s="1"/>
  <c r="E19" i="2"/>
  <c r="E20" i="2"/>
  <c r="E52" i="14" l="1"/>
  <c r="N52" i="14"/>
  <c r="N54" i="14" s="1"/>
  <c r="O52" i="14"/>
  <c r="P52" i="14"/>
  <c r="R52" i="14"/>
  <c r="R54" i="14" s="1"/>
  <c r="S52" i="14"/>
  <c r="T52" i="14"/>
  <c r="D52" i="14"/>
  <c r="Q54" i="14" l="1"/>
  <c r="O54" i="14"/>
  <c r="L54" i="14"/>
  <c r="B3" i="5" s="1"/>
  <c r="D9" i="11" s="1"/>
  <c r="D54" i="14"/>
  <c r="H54" i="14"/>
  <c r="B14" i="5" s="1"/>
  <c r="D20" i="11" s="1"/>
  <c r="E20" i="11" s="1"/>
  <c r="T54" i="14"/>
  <c r="P54" i="14"/>
  <c r="J54" i="14"/>
  <c r="S54" i="14"/>
  <c r="E54" i="14"/>
  <c r="I54" i="14"/>
  <c r="B15" i="5" s="1"/>
  <c r="G54" i="14"/>
  <c r="F54" i="14"/>
  <c r="K54" i="14"/>
  <c r="B16" i="5" s="1"/>
  <c r="D22" i="11" s="1"/>
  <c r="E22" i="11" s="1"/>
  <c r="D15" i="7"/>
  <c r="E15" i="7" s="1"/>
  <c r="G15" i="7" s="1"/>
  <c r="F15" i="7"/>
  <c r="E33" i="11"/>
  <c r="H52" i="5"/>
  <c r="F52" i="5"/>
  <c r="B57" i="5" l="1"/>
  <c r="D31" i="11" s="1"/>
  <c r="D21" i="11"/>
  <c r="E21" i="11" s="1"/>
  <c r="F16" i="5"/>
  <c r="H16" i="5"/>
  <c r="G16" i="5"/>
  <c r="G14" i="5"/>
  <c r="F14" i="5"/>
  <c r="H14" i="5"/>
  <c r="G15" i="5"/>
  <c r="F15" i="5"/>
  <c r="H15" i="5"/>
  <c r="F55" i="14"/>
  <c r="B13" i="5" s="1"/>
  <c r="D19" i="11" s="1"/>
  <c r="E19" i="11" s="1"/>
  <c r="H15" i="7"/>
  <c r="E52" i="5"/>
  <c r="E35" i="11"/>
  <c r="E36" i="11" s="1"/>
  <c r="E24" i="13" s="1"/>
  <c r="H13" i="5" l="1"/>
  <c r="G13" i="5"/>
  <c r="F13" i="5"/>
  <c r="G52" i="5"/>
  <c r="D28" i="2" l="1"/>
  <c r="D30" i="2"/>
  <c r="D11" i="2" l="1"/>
  <c r="E15" i="2" l="1"/>
  <c r="H39" i="7" l="1"/>
  <c r="D27" i="8"/>
  <c r="D28" i="8"/>
  <c r="D26" i="8"/>
  <c r="D21" i="8"/>
  <c r="D22" i="8"/>
  <c r="D23" i="8"/>
  <c r="D20" i="8"/>
  <c r="C21" i="8"/>
  <c r="D12" i="8"/>
  <c r="D13" i="8"/>
  <c r="D14" i="8"/>
  <c r="D15" i="8"/>
  <c r="D16" i="8"/>
  <c r="D17" i="8"/>
  <c r="D11" i="8"/>
  <c r="C15" i="8"/>
  <c r="D6" i="8"/>
  <c r="D7" i="8"/>
  <c r="D8" i="8"/>
  <c r="D5" i="8"/>
  <c r="H34" i="7"/>
  <c r="F34" i="7"/>
  <c r="E34" i="7"/>
  <c r="G34" i="7" s="1"/>
  <c r="F33" i="7"/>
  <c r="D33" i="7"/>
  <c r="H33" i="7" s="1"/>
  <c r="F32" i="7"/>
  <c r="D32" i="7"/>
  <c r="H32" i="7" s="1"/>
  <c r="F31" i="7"/>
  <c r="D31" i="7"/>
  <c r="H31" i="7" s="1"/>
  <c r="F27" i="7"/>
  <c r="D27" i="7"/>
  <c r="E27" i="7" s="1"/>
  <c r="G27" i="7" s="1"/>
  <c r="F26" i="7"/>
  <c r="D26" i="7"/>
  <c r="E26" i="7" s="1"/>
  <c r="G26" i="7" s="1"/>
  <c r="F25" i="7"/>
  <c r="D25" i="7"/>
  <c r="E25" i="7" s="1"/>
  <c r="G25" i="7" s="1"/>
  <c r="F24" i="7"/>
  <c r="D24" i="7"/>
  <c r="H24" i="7" s="1"/>
  <c r="D42" i="5"/>
  <c r="E42" i="5" s="1"/>
  <c r="F42" i="5"/>
  <c r="F13" i="7"/>
  <c r="F14" i="7"/>
  <c r="F16" i="7"/>
  <c r="D13" i="7"/>
  <c r="H13" i="7" s="1"/>
  <c r="D14" i="7"/>
  <c r="E14" i="7" s="1"/>
  <c r="G14" i="7" s="1"/>
  <c r="F4" i="7"/>
  <c r="F5" i="7"/>
  <c r="F6" i="7"/>
  <c r="D4" i="7"/>
  <c r="H4" i="7" s="1"/>
  <c r="D5" i="7"/>
  <c r="E5" i="7" s="1"/>
  <c r="G5" i="7" s="1"/>
  <c r="D6" i="7"/>
  <c r="H6" i="7" s="1"/>
  <c r="F3" i="7"/>
  <c r="F7" i="7" s="1"/>
  <c r="D3" i="7"/>
  <c r="H3" i="7" s="1"/>
  <c r="F18" i="7"/>
  <c r="D18" i="7"/>
  <c r="H18" i="7" s="1"/>
  <c r="F17" i="7"/>
  <c r="D17" i="7"/>
  <c r="E17" i="7" s="1"/>
  <c r="G17" i="7" s="1"/>
  <c r="D16" i="7"/>
  <c r="E16" i="7" s="1"/>
  <c r="G16" i="7" s="1"/>
  <c r="F12" i="7"/>
  <c r="D12" i="7"/>
  <c r="H12" i="7" s="1"/>
  <c r="F11" i="7"/>
  <c r="D11" i="7"/>
  <c r="E11" i="7" s="1"/>
  <c r="G11" i="7" s="1"/>
  <c r="E42" i="1"/>
  <c r="F42" i="1"/>
  <c r="E32" i="5"/>
  <c r="F32" i="5"/>
  <c r="C37" i="2" l="1"/>
  <c r="D16" i="13" s="1"/>
  <c r="H35" i="7"/>
  <c r="F35" i="7"/>
  <c r="H26" i="7"/>
  <c r="C23" i="8"/>
  <c r="C22" i="8"/>
  <c r="E22" i="8" s="1"/>
  <c r="E21" i="8"/>
  <c r="C11" i="8"/>
  <c r="E11" i="8" s="1"/>
  <c r="C17" i="8"/>
  <c r="E17" i="8" s="1"/>
  <c r="C14" i="8"/>
  <c r="E14" i="8" s="1"/>
  <c r="H7" i="7"/>
  <c r="C7" i="8"/>
  <c r="E7" i="8" s="1"/>
  <c r="G42" i="1"/>
  <c r="E37" i="2"/>
  <c r="E38" i="2" s="1"/>
  <c r="E23" i="8"/>
  <c r="C16" i="8"/>
  <c r="E16" i="8" s="1"/>
  <c r="G42" i="5"/>
  <c r="G32" i="5"/>
  <c r="E15" i="8"/>
  <c r="H25" i="7"/>
  <c r="F28" i="7"/>
  <c r="E32" i="7"/>
  <c r="E24" i="7"/>
  <c r="E33" i="7"/>
  <c r="H27" i="7"/>
  <c r="H28" i="7" s="1"/>
  <c r="E31" i="7"/>
  <c r="H42" i="5"/>
  <c r="E13" i="7"/>
  <c r="H16" i="7"/>
  <c r="H14" i="7"/>
  <c r="E6" i="7"/>
  <c r="E4" i="7"/>
  <c r="H5" i="7"/>
  <c r="E3" i="7"/>
  <c r="E12" i="7"/>
  <c r="F19" i="7"/>
  <c r="H17" i="7"/>
  <c r="H11" i="7"/>
  <c r="E18" i="7"/>
  <c r="H42" i="1"/>
  <c r="H32" i="5"/>
  <c r="D37" i="5"/>
  <c r="H37" i="5" s="1"/>
  <c r="F37" i="5"/>
  <c r="F38" i="5"/>
  <c r="D38" i="5"/>
  <c r="H38" i="5" s="1"/>
  <c r="F39" i="5"/>
  <c r="F40" i="5"/>
  <c r="F41" i="5"/>
  <c r="D39" i="5"/>
  <c r="H39" i="5" s="1"/>
  <c r="D40" i="5"/>
  <c r="H40" i="5" s="1"/>
  <c r="D41" i="5"/>
  <c r="E41" i="5" s="1"/>
  <c r="E31" i="5"/>
  <c r="F31" i="5"/>
  <c r="E16" i="13" l="1"/>
  <c r="C6" i="11"/>
  <c r="E6" i="11" s="1"/>
  <c r="G31" i="7"/>
  <c r="G35" i="7" s="1"/>
  <c r="C26" i="8"/>
  <c r="E26" i="8" s="1"/>
  <c r="E29" i="8" s="1"/>
  <c r="G32" i="7"/>
  <c r="C27" i="8"/>
  <c r="E27" i="8" s="1"/>
  <c r="G33" i="7"/>
  <c r="C28" i="8"/>
  <c r="E28" i="8" s="1"/>
  <c r="G24" i="7"/>
  <c r="G28" i="7" s="1"/>
  <c r="C20" i="8"/>
  <c r="E20" i="8" s="1"/>
  <c r="E24" i="8" s="1"/>
  <c r="G18" i="7"/>
  <c r="C31" i="8"/>
  <c r="E31" i="8" s="1"/>
  <c r="G13" i="7"/>
  <c r="G19" i="7" s="1"/>
  <c r="C13" i="8"/>
  <c r="E13" i="8" s="1"/>
  <c r="G12" i="7"/>
  <c r="C12" i="8"/>
  <c r="E12" i="8" s="1"/>
  <c r="G3" i="7"/>
  <c r="C5" i="8"/>
  <c r="E5" i="8" s="1"/>
  <c r="G4" i="7"/>
  <c r="C6" i="8"/>
  <c r="E6" i="8" s="1"/>
  <c r="G6" i="7"/>
  <c r="C8" i="8"/>
  <c r="E8" i="8" s="1"/>
  <c r="E9" i="8"/>
  <c r="E18" i="8"/>
  <c r="F20" i="7"/>
  <c r="F38" i="7"/>
  <c r="G31" i="5"/>
  <c r="G41" i="5"/>
  <c r="H19" i="7"/>
  <c r="H38" i="7" s="1"/>
  <c r="H40" i="7" s="1"/>
  <c r="H42" i="7" s="1"/>
  <c r="E38" i="5"/>
  <c r="E37" i="5"/>
  <c r="F43" i="5"/>
  <c r="F44" i="5" s="1"/>
  <c r="E39" i="5"/>
  <c r="E40" i="5"/>
  <c r="H41" i="5"/>
  <c r="H43" i="5" s="1"/>
  <c r="H44" i="5" s="1"/>
  <c r="H31" i="5"/>
  <c r="G7" i="7" l="1"/>
  <c r="G38" i="7" s="1"/>
  <c r="F39" i="7"/>
  <c r="C32" i="8" s="1"/>
  <c r="E32" i="8" s="1"/>
  <c r="E33" i="8" s="1"/>
  <c r="G20" i="7"/>
  <c r="G39" i="7" s="1"/>
  <c r="G38" i="5"/>
  <c r="G37" i="5"/>
  <c r="G40" i="5"/>
  <c r="G39" i="5"/>
  <c r="G43" i="5" l="1"/>
  <c r="G44" i="5" s="1"/>
  <c r="G40" i="7"/>
  <c r="G41" i="7" s="1"/>
  <c r="G42" i="7" s="1"/>
  <c r="E35" i="8"/>
  <c r="F40" i="7"/>
  <c r="E36" i="8" l="1"/>
  <c r="E37" i="8" s="1"/>
  <c r="F41" i="7"/>
  <c r="F42" i="7" s="1"/>
  <c r="F33" i="1"/>
  <c r="H33" i="1"/>
  <c r="E17" i="1"/>
  <c r="C18" i="2" s="1"/>
  <c r="E34" i="1" l="1"/>
  <c r="C29" i="2" s="1"/>
  <c r="E33" i="1"/>
  <c r="C28" i="2" s="1"/>
  <c r="G33" i="1" l="1"/>
  <c r="E28" i="2"/>
  <c r="D24" i="5" l="1"/>
  <c r="D23" i="5"/>
  <c r="E32" i="11" l="1"/>
  <c r="F35" i="1" l="1"/>
  <c r="E35" i="1"/>
  <c r="D27" i="2"/>
  <c r="C30" i="2" l="1"/>
  <c r="E30" i="2" s="1"/>
  <c r="G35" i="1"/>
  <c r="H35" i="1"/>
  <c r="H65" i="5" l="1"/>
  <c r="F57" i="5"/>
  <c r="F61" i="5" s="1"/>
  <c r="H57" i="5"/>
  <c r="H61" i="5" s="1"/>
  <c r="F51" i="5"/>
  <c r="E51" i="5"/>
  <c r="F50" i="5"/>
  <c r="E50" i="5"/>
  <c r="C27" i="11" s="1"/>
  <c r="F49" i="5"/>
  <c r="H49" i="5"/>
  <c r="F48" i="5"/>
  <c r="F54" i="5" s="1"/>
  <c r="H48" i="5"/>
  <c r="F30" i="5"/>
  <c r="F33" i="5" s="1"/>
  <c r="H30" i="5"/>
  <c r="H33" i="5" s="1"/>
  <c r="F24" i="5"/>
  <c r="H24" i="5"/>
  <c r="F23" i="5"/>
  <c r="H23" i="5"/>
  <c r="E3" i="5"/>
  <c r="C9" i="11" s="1"/>
  <c r="F3" i="5"/>
  <c r="E28" i="11" l="1"/>
  <c r="E9" i="11"/>
  <c r="E23" i="11" s="1"/>
  <c r="D21" i="13" s="1"/>
  <c r="E21" i="13" s="1"/>
  <c r="F53" i="5"/>
  <c r="E27" i="11"/>
  <c r="H25" i="5"/>
  <c r="G51" i="5"/>
  <c r="G50" i="5"/>
  <c r="E23" i="5"/>
  <c r="H50" i="5"/>
  <c r="H51" i="5"/>
  <c r="E49" i="5"/>
  <c r="C26" i="11" s="1"/>
  <c r="E30" i="5"/>
  <c r="E24" i="5"/>
  <c r="F25" i="5"/>
  <c r="F26" i="5" s="1"/>
  <c r="H3" i="5"/>
  <c r="G3" i="5"/>
  <c r="E57" i="5"/>
  <c r="E31" i="11" s="1"/>
  <c r="E48" i="5"/>
  <c r="E25" i="11" l="1"/>
  <c r="C5" i="11"/>
  <c r="E5" i="11" s="1"/>
  <c r="D20" i="13" s="1"/>
  <c r="E20" i="13" s="1"/>
  <c r="E34" i="11"/>
  <c r="D23" i="13" s="1"/>
  <c r="E23" i="13" s="1"/>
  <c r="H53" i="5"/>
  <c r="E26" i="11"/>
  <c r="G57" i="5"/>
  <c r="G61" i="5" s="1"/>
  <c r="G49" i="5"/>
  <c r="G48" i="5"/>
  <c r="G24" i="5"/>
  <c r="G23" i="5"/>
  <c r="G30" i="5"/>
  <c r="G33" i="5" s="1"/>
  <c r="H18" i="5"/>
  <c r="E29" i="11" l="1"/>
  <c r="G53" i="5"/>
  <c r="E38" i="11"/>
  <c r="D22" i="13"/>
  <c r="E22" i="13" s="1"/>
  <c r="H64" i="5"/>
  <c r="H66" i="5" s="1"/>
  <c r="H68" i="5" s="1"/>
  <c r="G18" i="5"/>
  <c r="G19" i="5" s="1"/>
  <c r="C39" i="11" s="1"/>
  <c r="G25" i="5"/>
  <c r="G26" i="5" s="1"/>
  <c r="F18" i="5"/>
  <c r="F64" i="5" l="1"/>
  <c r="F19" i="5"/>
  <c r="G64" i="5"/>
  <c r="O40" i="3"/>
  <c r="D18" i="2" s="1"/>
  <c r="N40" i="3"/>
  <c r="M40" i="3"/>
  <c r="L40" i="3"/>
  <c r="K40" i="3"/>
  <c r="J40" i="3"/>
  <c r="I40" i="3"/>
  <c r="H40" i="3"/>
  <c r="G40" i="3"/>
  <c r="F40" i="3"/>
  <c r="E40" i="3"/>
  <c r="D40" i="3"/>
  <c r="B26" i="1" s="1"/>
  <c r="C40" i="3"/>
  <c r="B25" i="1" s="1"/>
  <c r="D23" i="2" l="1"/>
  <c r="B39" i="1"/>
  <c r="D24" i="2"/>
  <c r="G26" i="1"/>
  <c r="F26" i="1"/>
  <c r="H26" i="1"/>
  <c r="F65" i="5"/>
  <c r="G17" i="1"/>
  <c r="H17" i="1"/>
  <c r="F17" i="1"/>
  <c r="W40" i="3"/>
  <c r="D39" i="1"/>
  <c r="E39" i="1" s="1"/>
  <c r="C33" i="2" s="1"/>
  <c r="F25" i="1"/>
  <c r="H25" i="1"/>
  <c r="F11" i="1"/>
  <c r="E11" i="1"/>
  <c r="F10" i="1"/>
  <c r="H10" i="1"/>
  <c r="F3" i="1"/>
  <c r="E3" i="1"/>
  <c r="C5" i="2" s="1"/>
  <c r="F28" i="1" l="1"/>
  <c r="F29" i="1" s="1"/>
  <c r="E24" i="2"/>
  <c r="H28" i="1"/>
  <c r="H22" i="1"/>
  <c r="G22" i="1"/>
  <c r="G23" i="1" s="1"/>
  <c r="F22" i="1"/>
  <c r="F23" i="1" s="1"/>
  <c r="D7" i="2"/>
  <c r="D8" i="2" s="1"/>
  <c r="B6" i="1"/>
  <c r="H5" i="1"/>
  <c r="F5" i="1"/>
  <c r="F13" i="1"/>
  <c r="E18" i="2"/>
  <c r="E21" i="2" s="1"/>
  <c r="G11" i="1"/>
  <c r="H11" i="1"/>
  <c r="H3" i="1"/>
  <c r="E5" i="1"/>
  <c r="G3" i="1"/>
  <c r="E6" i="1"/>
  <c r="C8" i="2" s="1"/>
  <c r="E10" i="1"/>
  <c r="C11" i="2" s="1"/>
  <c r="E25" i="1"/>
  <c r="C23" i="2" s="1"/>
  <c r="H32" i="1"/>
  <c r="F32" i="1"/>
  <c r="F37" i="1" s="1"/>
  <c r="E4" i="1"/>
  <c r="C6" i="2" s="1"/>
  <c r="F14" i="1" l="1"/>
  <c r="G14" i="1" s="1"/>
  <c r="F6" i="1"/>
  <c r="H6" i="1"/>
  <c r="F4" i="1"/>
  <c r="H4" i="1"/>
  <c r="D12" i="13"/>
  <c r="E12" i="13" s="1"/>
  <c r="F34" i="1"/>
  <c r="D29" i="2"/>
  <c r="E29" i="2" s="1"/>
  <c r="H34" i="1"/>
  <c r="D33" i="2"/>
  <c r="E33" i="2" s="1"/>
  <c r="G34" i="1"/>
  <c r="G66" i="5"/>
  <c r="F72" i="5" s="1"/>
  <c r="E39" i="11"/>
  <c r="H13" i="1"/>
  <c r="E5" i="2"/>
  <c r="G5" i="1"/>
  <c r="G4" i="1"/>
  <c r="G6" i="1"/>
  <c r="G25" i="1"/>
  <c r="G28" i="1" s="1"/>
  <c r="G29" i="1" s="1"/>
  <c r="C41" i="2" s="1"/>
  <c r="E32" i="1"/>
  <c r="C27" i="2" s="1"/>
  <c r="G10" i="1"/>
  <c r="E40" i="11" l="1"/>
  <c r="E42" i="11" s="1"/>
  <c r="E43" i="11" s="1"/>
  <c r="G67" i="5"/>
  <c r="G68" i="5" s="1"/>
  <c r="G71" i="5" s="1"/>
  <c r="F71" i="5"/>
  <c r="H7" i="1"/>
  <c r="F7" i="1"/>
  <c r="F36" i="1"/>
  <c r="H39" i="1"/>
  <c r="H43" i="1" s="1"/>
  <c r="H36" i="1"/>
  <c r="F39" i="1"/>
  <c r="F43" i="1" s="1"/>
  <c r="G39" i="1"/>
  <c r="G43" i="1" s="1"/>
  <c r="D25" i="13"/>
  <c r="E25" i="13" s="1"/>
  <c r="E26" i="13" s="1"/>
  <c r="G7" i="1"/>
  <c r="G13" i="1"/>
  <c r="E23" i="2"/>
  <c r="E7" i="2"/>
  <c r="E16" i="2"/>
  <c r="D11" i="13" s="1"/>
  <c r="E11" i="13" s="1"/>
  <c r="E8" i="2"/>
  <c r="E6" i="2"/>
  <c r="E11" i="2"/>
  <c r="E12" i="2" s="1"/>
  <c r="D10" i="13" s="1"/>
  <c r="E10" i="13" s="1"/>
  <c r="G32" i="1"/>
  <c r="E44" i="11" l="1"/>
  <c r="G36" i="1"/>
  <c r="G37" i="1"/>
  <c r="G45" i="1"/>
  <c r="E25" i="2"/>
  <c r="D13" i="13" s="1"/>
  <c r="E13" i="13" s="1"/>
  <c r="D15" i="13"/>
  <c r="E15" i="13" s="1"/>
  <c r="H45" i="1"/>
  <c r="H49" i="1" s="1"/>
  <c r="H51" i="1" s="1"/>
  <c r="E27" i="2"/>
  <c r="E31" i="2" s="1"/>
  <c r="D14" i="13" s="1"/>
  <c r="E14" i="13" s="1"/>
  <c r="E9" i="2"/>
  <c r="D9" i="13" s="1"/>
  <c r="E9" i="13" s="1"/>
  <c r="F66" i="5" l="1"/>
  <c r="F67" i="5" l="1"/>
  <c r="F68" i="5" s="1"/>
  <c r="F45" i="1" l="1"/>
  <c r="F46" i="1"/>
  <c r="F48" i="1" l="1"/>
  <c r="F47" i="1"/>
  <c r="E40" i="2"/>
  <c r="E47" i="11" s="1"/>
  <c r="E41" i="2"/>
  <c r="G48" i="1" l="1"/>
  <c r="G47" i="1"/>
  <c r="E52" i="1" s="1"/>
  <c r="E42" i="2"/>
  <c r="E44" i="2" s="1"/>
  <c r="F49" i="1"/>
  <c r="E53" i="1" l="1"/>
  <c r="D17" i="13"/>
  <c r="E17" i="13" s="1"/>
  <c r="E18" i="13" s="1"/>
  <c r="E28" i="13" s="1"/>
  <c r="E29" i="13" s="1"/>
  <c r="E30" i="13" s="1"/>
  <c r="G49" i="1"/>
  <c r="G51" i="1" s="1"/>
  <c r="E45" i="2"/>
  <c r="E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tc={C5B71F4F-8D87-4030-AE41-F0284B8309D9}</author>
  </authors>
  <commentList>
    <comment ref="A16" authorId="0" shapeId="0" xr:uid="{C5B71F4F-8D87-4030-AE41-F0284B8309D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@Rochelle Watkis fill in the information</t>
      </text>
    </comment>
  </commentList>
</comments>
</file>

<file path=xl/sharedStrings.xml><?xml version="1.0" encoding="utf-8"?>
<sst xmlns="http://schemas.openxmlformats.org/spreadsheetml/2006/main" count="445" uniqueCount="250">
  <si>
    <t>Item</t>
  </si>
  <si>
    <t>Qty</t>
  </si>
  <si>
    <t>Cost</t>
  </si>
  <si>
    <t>Markup</t>
  </si>
  <si>
    <t xml:space="preserve">Sell </t>
  </si>
  <si>
    <t>Total Cost</t>
  </si>
  <si>
    <t>Total Sell</t>
  </si>
  <si>
    <t>Total Profit</t>
  </si>
  <si>
    <t xml:space="preserve">Software </t>
  </si>
  <si>
    <t>Total</t>
  </si>
  <si>
    <t>Compute &amp; Storage</t>
  </si>
  <si>
    <t>Import</t>
  </si>
  <si>
    <t>Cameras</t>
  </si>
  <si>
    <t xml:space="preserve">Total </t>
  </si>
  <si>
    <t xml:space="preserve">Network </t>
  </si>
  <si>
    <t xml:space="preserve">Network Infrastructure </t>
  </si>
  <si>
    <t xml:space="preserve">Processional Services </t>
  </si>
  <si>
    <t>LAB-INST-EQUIP</t>
  </si>
  <si>
    <t>LAB-INST-CONFIG</t>
  </si>
  <si>
    <t>Sub-Total</t>
  </si>
  <si>
    <t>Importation</t>
  </si>
  <si>
    <t>GCT</t>
  </si>
  <si>
    <t>Grand Total</t>
  </si>
  <si>
    <t>Item No</t>
  </si>
  <si>
    <t>Products  –  Description</t>
  </si>
  <si>
    <t>List</t>
  </si>
  <si>
    <t>Extended</t>
  </si>
  <si>
    <t>Video Management System Software</t>
  </si>
  <si>
    <t xml:space="preserve">Compute and Storage </t>
  </si>
  <si>
    <t>Control Room</t>
  </si>
  <si>
    <t>Video Security Equipment</t>
  </si>
  <si>
    <t xml:space="preserve">Professional Services </t>
  </si>
  <si>
    <t>Company Name</t>
  </si>
  <si>
    <t>Address</t>
  </si>
  <si>
    <t>Code</t>
  </si>
  <si>
    <t>Phone</t>
  </si>
  <si>
    <t>Web</t>
  </si>
  <si>
    <t xml:space="preserve">Company Detail </t>
  </si>
  <si>
    <t>Notes</t>
  </si>
  <si>
    <t>Contact</t>
  </si>
  <si>
    <t>Office Phone</t>
  </si>
  <si>
    <t>Mobile</t>
  </si>
  <si>
    <t>Email</t>
  </si>
  <si>
    <t xml:space="preserve">Project </t>
  </si>
  <si>
    <t xml:space="preserve">Video Surveillance Assessment </t>
  </si>
  <si>
    <t>LOCATION</t>
  </si>
  <si>
    <t xml:space="preserve">Connectivity </t>
  </si>
  <si>
    <t>L</t>
  </si>
  <si>
    <t xml:space="preserve">Camera Resolution </t>
  </si>
  <si>
    <t>COMMENTS</t>
  </si>
  <si>
    <t>Switch</t>
  </si>
  <si>
    <t>Encoder</t>
  </si>
  <si>
    <t>D1</t>
  </si>
  <si>
    <t>PTZ-E</t>
  </si>
  <si>
    <t>PTZ-I</t>
  </si>
  <si>
    <t>HD</t>
  </si>
  <si>
    <t>2MP-B</t>
  </si>
  <si>
    <t>2MP-D</t>
  </si>
  <si>
    <t>5MP-B</t>
  </si>
  <si>
    <t>5MP-D</t>
  </si>
  <si>
    <t>4K-B</t>
  </si>
  <si>
    <t>4K-D</t>
  </si>
  <si>
    <t>180º</t>
  </si>
  <si>
    <t>12-360º</t>
  </si>
  <si>
    <t>THER</t>
  </si>
  <si>
    <t>City/Town</t>
  </si>
  <si>
    <t>QTY</t>
  </si>
  <si>
    <t xml:space="preserve">Cost </t>
  </si>
  <si>
    <t>Mark up %</t>
  </si>
  <si>
    <t>Profit</t>
  </si>
  <si>
    <t>Hardware</t>
  </si>
  <si>
    <t>Import Tax</t>
  </si>
  <si>
    <t>Computers</t>
  </si>
  <si>
    <t>Software</t>
  </si>
  <si>
    <t xml:space="preserve">Infrastructure </t>
  </si>
  <si>
    <t>LAB-INST-Soft</t>
  </si>
  <si>
    <t>System</t>
  </si>
  <si>
    <t>Total Imp</t>
  </si>
  <si>
    <t xml:space="preserve">Subtotal </t>
  </si>
  <si>
    <t>Grans-Total</t>
  </si>
  <si>
    <t>Contingency plan</t>
  </si>
  <si>
    <t>Credential Centre</t>
  </si>
  <si>
    <t>Audio &amp; Video Intercom Rev.1</t>
  </si>
  <si>
    <t>VMS Total</t>
  </si>
  <si>
    <t>Server Total</t>
  </si>
  <si>
    <t xml:space="preserve">Total Camera </t>
  </si>
  <si>
    <t>Network Total</t>
  </si>
  <si>
    <t>Infra Total</t>
  </si>
  <si>
    <t>Access Control System Software</t>
  </si>
  <si>
    <t>Software Total</t>
  </si>
  <si>
    <t>Hardware Total</t>
  </si>
  <si>
    <t>PS Total</t>
  </si>
  <si>
    <t>Import Total</t>
  </si>
  <si>
    <t>COST SUMMARY</t>
  </si>
  <si>
    <t>DESIGNATION</t>
  </si>
  <si>
    <t>Tax</t>
  </si>
  <si>
    <t>E-Tech System Limited</t>
  </si>
  <si>
    <t xml:space="preserve">for </t>
  </si>
  <si>
    <t>Total Video Surveillance</t>
  </si>
  <si>
    <t>Access Control Systems</t>
  </si>
  <si>
    <t>Total Access Control</t>
  </si>
  <si>
    <t>Inftra  Total</t>
  </si>
  <si>
    <t xml:space="preserve">Hardware Total </t>
  </si>
  <si>
    <t>IMP Total</t>
  </si>
  <si>
    <t>Grand Total Supply, Install, Configure and Commission Security Solution</t>
  </si>
  <si>
    <t>Video Surveillance</t>
  </si>
  <si>
    <t>City/Twon</t>
  </si>
  <si>
    <t>State/Parish</t>
  </si>
  <si>
    <t>Company Detail:</t>
  </si>
  <si>
    <t>Title</t>
  </si>
  <si>
    <t>Site</t>
  </si>
  <si>
    <t xml:space="preserve">Access Control Site Assessment </t>
  </si>
  <si>
    <t>Area</t>
  </si>
  <si>
    <t>Door</t>
  </si>
  <si>
    <t xml:space="preserve">Read Access </t>
  </si>
  <si>
    <t>Lock Type</t>
  </si>
  <si>
    <t>Accessories</t>
  </si>
  <si>
    <t>Building Grouping</t>
  </si>
  <si>
    <t>Comment</t>
  </si>
  <si>
    <t>Bio</t>
  </si>
  <si>
    <t>LR</t>
  </si>
  <si>
    <t>In</t>
  </si>
  <si>
    <t>Out</t>
  </si>
  <si>
    <t xml:space="preserve">RTE </t>
  </si>
  <si>
    <t>Z</t>
  </si>
  <si>
    <t xml:space="preserve">Panel </t>
  </si>
  <si>
    <t>Tx</t>
  </si>
  <si>
    <t>OR</t>
  </si>
  <si>
    <t>Controller</t>
  </si>
  <si>
    <t>Imput</t>
  </si>
  <si>
    <t>AXIS P3267-LV</t>
  </si>
  <si>
    <t xml:space="preserve">AXIS T8516 PoE+ </t>
  </si>
  <si>
    <t xml:space="preserve">AXIS T8508 POE+ </t>
  </si>
  <si>
    <t>QVM-A-ADV-CP</t>
  </si>
  <si>
    <t>QVM-A-ADV-CP-SMA-EI</t>
  </si>
  <si>
    <t>QVM-A-ADV-1C</t>
  </si>
  <si>
    <t>QVM-A-ADV-1C-SMA-EI</t>
  </si>
  <si>
    <t>HxGN QWVMS Advanced Core Package</t>
  </si>
  <si>
    <t>1st Yr. Enterprise SMA for Qognify VMS Advanced Core Package</t>
  </si>
  <si>
    <t>1st Yr. Enterprise SMA for Qognify VMS Advanced Camera Extension</t>
  </si>
  <si>
    <t>Shipping</t>
  </si>
  <si>
    <t>trueCABLE Cat6 Riser (CMR), 1000ft, Green, 23AWG 4 Pair Solid Bare Copper, 550MHz, PoE++ (4PPoE), ETL Listed, Unshielded Twisted Pair (UTP), Bulk Ethernet Cable</t>
  </si>
  <si>
    <t>Miscellaneous Material</t>
  </si>
  <si>
    <t xml:space="preserve">Labor to Install Data Cables, Test &amp; Label </t>
  </si>
  <si>
    <t>Infrastructure Installation</t>
  </si>
  <si>
    <t>Labor Infra</t>
  </si>
  <si>
    <t>Cable</t>
  </si>
  <si>
    <t xml:space="preserve">GVision 43in CCTV Monitor, Desktop, VGA + HDMI + BNC In/Out(CVBS), HD 1920x1080, 250 Nits, 1000:1 Contrast, 100 x 200mm VESA, 2 x 5W, Black, Stand </t>
  </si>
  <si>
    <t>Equipment installation. All wiring must be certified before equipment is installed. This includes connections from cable to equipment.</t>
  </si>
  <si>
    <t>Software Platform Installation and Configuration</t>
  </si>
  <si>
    <t>Equipment adjustment, software and platform installation,
programming, internal configuration of system and system testing.</t>
  </si>
  <si>
    <t>Shipping / Freight (CIF Jamaica)</t>
  </si>
  <si>
    <t>Importation Tax (Import Duty, Stamp Duty, IMP-GCT, SCT, SCF, CUF, Processing Fee, Environmental Levy)</t>
  </si>
  <si>
    <t>PRO-CLIENT-V9.5</t>
  </si>
  <si>
    <t>M2150-4DBC</t>
  </si>
  <si>
    <t>WIM4</t>
  </si>
  <si>
    <t>MN-NIC-5</t>
  </si>
  <si>
    <t>MN-CAB3A</t>
  </si>
  <si>
    <t>MN-CAB-FIX</t>
  </si>
  <si>
    <t>MN-PSU-KIT</t>
  </si>
  <si>
    <t>MN-TRANS-75-UL</t>
  </si>
  <si>
    <t>939S</t>
  </si>
  <si>
    <t>SD-7103GC-PEQ</t>
  </si>
  <si>
    <t>E-941SA-600PQ</t>
  </si>
  <si>
    <t>E-941S-600/ZQ</t>
  </si>
  <si>
    <t>Seco-Larm Enforcer Slimline Push-to-Exit Plate, Illuminated</t>
  </si>
  <si>
    <t>Seco-Larm 600 lb. (272 kg) Electromagnetic Lock w/Bond Sensor and LED</t>
  </si>
  <si>
    <t>Seco-Larm"Z" Mounting Bracket for 600lb. Series - Armature Plate Not Included</t>
  </si>
  <si>
    <t>Symmetry M2150 4DBC 4 Reader Panel BOARD ONLY - 20K</t>
  </si>
  <si>
    <t>Symmetry Wiegand Interface Module (WIM) 4 - Used with 4 door controllers to enable Wiegand reader connection</t>
  </si>
  <si>
    <t>Symmetry M2150 - 10/100Mbps NIC module for Ethernet connection of panel to LAN</t>
  </si>
  <si>
    <t>Symmetry CAB3A Enclosure - Lock, Tamper, Space for PSU-KIT. Supports: DBU &amp; QTY 1x AC24/4, OC4/24, 4DC, 2DC or QTY 2x 2DC, 4DC, AC24/4, OC4/24 or QTY: 1x 8DBC, 8DC, 4DBC, 2DBC (WHD 16.5x21.7x3.7)*</t>
  </si>
  <si>
    <t>Symmetry M2150 Board Fixing Kit - For adding Boards to existing enclosure. Includes standoffs, screws, etc.</t>
  </si>
  <si>
    <t>Symmetry 3 Amp Power Supply - Provides AC power. Requires 18VAC UL Transformer</t>
  </si>
  <si>
    <t>Symmetry 75VA UL Transformer - 110v/18VAC, 75VA. For use with M2150 2DBC, 2DC. 4DBC or 4DC controllers. UL294</t>
  </si>
  <si>
    <t>Symmetry Blue 939S (Wiegand + OSDP) Wallplate Reader  - Black - for Bluetooth / LF + HF</t>
  </si>
  <si>
    <t>SSA-ADD-YEARS</t>
  </si>
  <si>
    <t>DN-060-490/GY</t>
  </si>
  <si>
    <t>LAB-INST-INFR</t>
  </si>
  <si>
    <t>LAB-INST-CABLE</t>
  </si>
  <si>
    <t>Cat6 24AWG Stranded - CM, 1000ft, Unshielded, More Flexible, Bare Copper, 550MHz, ETL Listed &amp; UL Listed</t>
  </si>
  <si>
    <t>EN-2DBC-PLUS</t>
  </si>
  <si>
    <t>Ministry of Health &amp; Wellness</t>
  </si>
  <si>
    <t>C43MD-AU-400G</t>
  </si>
  <si>
    <t>Symmetry M2150 8 Input/4 Output Module - (NOTE: Max combined AC8/4 and OC4/8 modules for M2150 family: 8DC, 8DBC: Max 1; 4DC, 4DBC: max 2; 2DC, 2DBC: max 1; Not applicable for EN-1DBC, EN-2DBC, or any DBU)</t>
  </si>
  <si>
    <t>M2150-AC8/4</t>
  </si>
  <si>
    <t>MoH ARC Building</t>
  </si>
  <si>
    <t xml:space="preserve">Front of Building </t>
  </si>
  <si>
    <t xml:space="preserve">Side of Building </t>
  </si>
  <si>
    <t>Outdoor</t>
  </si>
  <si>
    <t>Ground Floor</t>
  </si>
  <si>
    <t xml:space="preserve">Parking Lot </t>
  </si>
  <si>
    <t>Lobby</t>
  </si>
  <si>
    <t>First Floor</t>
  </si>
  <si>
    <t xml:space="preserve">Second Floor </t>
  </si>
  <si>
    <t>Third Floor</t>
  </si>
  <si>
    <t xml:space="preserve">Fourth Floor </t>
  </si>
  <si>
    <t>Fifth Floor</t>
  </si>
  <si>
    <t>Sixth Floor</t>
  </si>
  <si>
    <t xml:space="preserve">Ground Floor </t>
  </si>
  <si>
    <t>Main Entrance</t>
  </si>
  <si>
    <t>slimline</t>
  </si>
  <si>
    <t>Office 1</t>
  </si>
  <si>
    <t>1st Floor</t>
  </si>
  <si>
    <t>2nd Floor</t>
  </si>
  <si>
    <t>Nursing and midwife unit Entrance</t>
  </si>
  <si>
    <t>Epidemiology - Entrance</t>
  </si>
  <si>
    <t>3rd Floor</t>
  </si>
  <si>
    <t>4th Floor</t>
  </si>
  <si>
    <t>Accounts - Entrance</t>
  </si>
  <si>
    <t>5th Floor</t>
  </si>
  <si>
    <t>Environmental health</t>
  </si>
  <si>
    <t>Directors Office</t>
  </si>
  <si>
    <t>Door needs closure - slimline reader</t>
  </si>
  <si>
    <t>6th Floor</t>
  </si>
  <si>
    <t>Entrance to Roof</t>
  </si>
  <si>
    <t>Front Entrance</t>
  </si>
  <si>
    <t>Garage Contact</t>
  </si>
  <si>
    <t>5MP-DV</t>
  </si>
  <si>
    <t>AXIS P3268-LVE</t>
  </si>
  <si>
    <t>AXIS P3267-LVE</t>
  </si>
  <si>
    <t>AXIS P3268-LVE High-performance fixed dome camera with Deep Learning Processing Unit (DLPU). Forensic WDR, Lightfinder 2.0 and Optimized IR. Discreet, dust- and IK10 vandal-resistant outdoor casing.
Varifocal  3-8 mm P-Iris lens with remote zoom and focus. Multiple, individually configurable streams, H.264/H.265 with Zipstream and Motion JPEG. 8MP 4K stream in 16:9 up to 30fps.</t>
  </si>
  <si>
    <t>AXIS P3267-LV High-performance fixed dome camera with Deep Learning Processing Unit (DLPU). Forensic WDR, Lightfinder 2.0 and Optimized IR. Discreet, dust- and IK10 vandal-resistant indoor casing.
Varifocal  3-8 mm P-Iris lens with remote zoom and focus. Multiple, individually configurable streams, H.264/H.265 with Zipstream and Motion JPEG.</t>
  </si>
  <si>
    <t>AXIS P3267-LVE High-performance fixed dome camera with Deep Learning Processing Unit (DLPU). Forensic WDR, Lightfinder 2.0 and Optimized IR. Discreet, dust- and IK10 vandal-resistant outdoor casing.
Varifocal  3-8 mm P-Iris lens with remote zoom and focus. Multiple, individually configurable streams, H.264/H.265 with Zipstream and Motion JPEG. 5MP stream in 4:3 up to 30fps.</t>
  </si>
  <si>
    <t>G2-A2L20A487</t>
  </si>
  <si>
    <t>PM</t>
  </si>
  <si>
    <t>PRO-LIC-016-V9</t>
  </si>
  <si>
    <t>AMAG Symmetry Professional 16 Reader License Add-on</t>
  </si>
  <si>
    <t xml:space="preserve">Symmetry Professional Client Software - Includes License.  </t>
  </si>
  <si>
    <t xml:space="preserve">Symmetry Edge Network 2  Door PoE+ Controller - Power over Ethernet+ capable one door controller with 2 aux inputs and 1 aux outputs. Upgradable to 2 doors with reader module. Provides 1.5A power for reader using PoE+ (750mA using PoE), lock &amp; devices. </t>
  </si>
  <si>
    <t>Power Supply with Enclouser (12VDC) to Power Access Control Lock</t>
  </si>
  <si>
    <t>G2-t2#11W005</t>
  </si>
  <si>
    <t>Professional Serves - Project Management</t>
  </si>
  <si>
    <t>CP</t>
  </si>
  <si>
    <t>AXIS T8508 PoE+ Network Switch managed fanless gigabit network switch, optimized for Axis network products. 2 SFP/RJ45 uplink ports and 8 PoE+ ports with 130W power supply. Built in DCHP server for plug-and-play camera setup. Easy system configuration for effective installation of Axis network products</t>
  </si>
  <si>
    <t>AXIS T8516 PoE+ Network Switch  managed gigabit network switch, optimized for Axis network products. 2 SFP/RJ45 uplink ports and 16 PoE+ ports with 250W power supply. Built in DCHP server for plug-and-play camera setup. Easy system configuration for effective installation of Axis network products.</t>
  </si>
  <si>
    <t>Switches are on floor 1 and 4 - To be provided by MOH</t>
  </si>
  <si>
    <t>Emergency door</t>
  </si>
  <si>
    <t>Main Entrance - Intercom</t>
  </si>
  <si>
    <t>Intercome</t>
  </si>
  <si>
    <t>TOTAL COST US Dollar (JMD)</t>
  </si>
  <si>
    <t>Unit Price in US Dollar (JMD)</t>
  </si>
  <si>
    <t>Ref # SurACS-1-6-2026 - Surveillance and Access Control System</t>
  </si>
  <si>
    <t>Rasilient ApplianceStor70v3, 1U/4D Rack-mountable, Intel Xeon E-2334 CPU, 32GB DDR4 3200Mhz ECC RAM, 2x GbE, Redundant PSU, On-board ASPEED GPU, 2x240GB SSD, 4x20TB SAS HDD, Win
Server 2019 Standard, USB Keyboard and Mouse, 5 Year Warranty</t>
  </si>
  <si>
    <t>HxGN dC3 Advanced Camera Extension</t>
  </si>
  <si>
    <t>Ref # SurAc-1-6-2026 - Video Surveillance System</t>
  </si>
  <si>
    <t>Ref # SurAc-1-6-2026 - Access Control</t>
  </si>
  <si>
    <t>Rasilient AS61MTv2-2xGbE-1xi7-12700 16GB-T400-1x500GB NO_HDD-Win10-KBM -  ApplianceStor61v2 for CCTV Viewing  Mini-Tower, Intel  i7-12700 CPU, 16GB DDR4-3200 non-ECC RAM, Nvidia T400 GPU, 2xGbE, 1x500GB SDD, Win10 Pro, USB Keyboard and Mouse</t>
  </si>
  <si>
    <t>CBL-tC1000f</t>
  </si>
  <si>
    <t>E-EAP-5D5Q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</si>
</sst>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.00"/>
    <numFmt numFmtId="166" formatCode="#,##0.00\ &quot;€&quot;"/>
    <numFmt numFmtId="167" formatCode="_-* #,##0.00\ _F_-;\-* #,##0.00\ _F_-;_-* &quot;-&quot;??\ _F_-;_-@_-"/>
    <numFmt numFmtId="168" formatCode="#,##0\ [$JMD]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name val="Times New Roman"/>
      <family val="1"/>
    </font>
    <font>
      <b/>
      <sz val="8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10"/>
      <name val="MS Sans Serif"/>
      <family val="2"/>
      <charset val="177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26"/>
      <color theme="1"/>
      <name val="Times New Roman"/>
      <family val="1"/>
    </font>
    <font>
      <sz val="14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sz val="20"/>
      <color theme="1"/>
      <name val="Times New Roman"/>
      <family val="1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F111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rgb="FFC1FFFF"/>
        <bgColor indexed="31"/>
      </patternFill>
    </fill>
    <fill>
      <patternFill patternType="solid">
        <fgColor rgb="FFC1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44" fillId="0" borderId="0"/>
    <xf numFmtId="167" fontId="46" fillId="0" borderId="0" applyFont="0" applyFill="0" applyBorder="0" applyAlignment="0" applyProtection="0"/>
    <xf numFmtId="44" fontId="46" fillId="0" borderId="0" applyFont="0" applyFill="0" applyBorder="0" applyAlignment="0" applyProtection="0"/>
  </cellStyleXfs>
  <cellXfs count="525">
    <xf numFmtId="0" fontId="0" fillId="0" borderId="0" xfId="0"/>
    <xf numFmtId="1" fontId="4" fillId="3" borderId="2" xfId="0" applyNumberFormat="1" applyFont="1" applyFill="1" applyBorder="1" applyAlignment="1">
      <alignment vertical="top" wrapText="1"/>
    </xf>
    <xf numFmtId="1" fontId="4" fillId="3" borderId="3" xfId="0" applyNumberFormat="1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left" vertical="top" wrapText="1"/>
    </xf>
    <xf numFmtId="1" fontId="6" fillId="3" borderId="3" xfId="0" applyNumberFormat="1" applyFont="1" applyFill="1" applyBorder="1" applyAlignment="1">
      <alignment horizontal="center" vertical="top" wrapText="1"/>
    </xf>
    <xf numFmtId="1" fontId="6" fillId="3" borderId="7" xfId="0" applyNumberFormat="1" applyFont="1" applyFill="1" applyBorder="1" applyAlignment="1">
      <alignment horizontal="center" vertical="top" wrapText="1"/>
    </xf>
    <xf numFmtId="1" fontId="8" fillId="4" borderId="1" xfId="0" applyNumberFormat="1" applyFont="1" applyFill="1" applyBorder="1" applyAlignment="1">
      <alignment horizontal="left" vertical="top" wrapText="1"/>
    </xf>
    <xf numFmtId="1" fontId="8" fillId="11" borderId="2" xfId="0" applyNumberFormat="1" applyFont="1" applyFill="1" applyBorder="1" applyAlignment="1">
      <alignment vertical="top" wrapText="1"/>
    </xf>
    <xf numFmtId="1" fontId="8" fillId="11" borderId="3" xfId="0" applyNumberFormat="1" applyFont="1" applyFill="1" applyBorder="1" applyAlignment="1">
      <alignment vertical="top" wrapText="1"/>
    </xf>
    <xf numFmtId="1" fontId="10" fillId="11" borderId="7" xfId="0" applyNumberFormat="1" applyFont="1" applyFill="1" applyBorder="1" applyAlignment="1">
      <alignment horizontal="right" vertical="top" wrapText="1"/>
    </xf>
    <xf numFmtId="1" fontId="8" fillId="11" borderId="9" xfId="0" applyNumberFormat="1" applyFont="1" applyFill="1" applyBorder="1" applyAlignment="1">
      <alignment horizontal="left" vertical="top" wrapText="1"/>
    </xf>
    <xf numFmtId="1" fontId="12" fillId="11" borderId="10" xfId="0" applyNumberFormat="1" applyFont="1" applyFill="1" applyBorder="1" applyAlignment="1">
      <alignment horizontal="center" vertical="top" wrapText="1"/>
    </xf>
    <xf numFmtId="1" fontId="13" fillId="11" borderId="10" xfId="0" applyNumberFormat="1" applyFont="1" applyFill="1" applyBorder="1" applyAlignment="1">
      <alignment horizontal="right" vertical="top" wrapText="1"/>
    </xf>
    <xf numFmtId="1" fontId="8" fillId="4" borderId="2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vertical="top"/>
    </xf>
    <xf numFmtId="0" fontId="0" fillId="0" borderId="3" xfId="0" applyBorder="1" applyAlignment="1">
      <alignment horizontal="center" vertical="top"/>
    </xf>
    <xf numFmtId="164" fontId="0" fillId="0" borderId="3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164" fontId="2" fillId="0" borderId="7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164" fontId="0" fillId="0" borderId="0" xfId="0" applyNumberFormat="1" applyAlignment="1">
      <alignment vertical="top"/>
    </xf>
    <xf numFmtId="0" fontId="3" fillId="3" borderId="2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7" fillId="4" borderId="1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0" fillId="4" borderId="10" xfId="0" applyFill="1" applyBorder="1" applyAlignment="1">
      <alignment horizontal="center" vertical="top"/>
    </xf>
    <xf numFmtId="165" fontId="0" fillId="0" borderId="10" xfId="0" applyNumberFormat="1" applyBorder="1" applyAlignment="1">
      <alignment vertical="top"/>
    </xf>
    <xf numFmtId="0" fontId="0" fillId="4" borderId="3" xfId="0" applyFill="1" applyBorder="1" applyAlignment="1">
      <alignment horizontal="center" vertical="top"/>
    </xf>
    <xf numFmtId="165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0" fontId="0" fillId="4" borderId="1" xfId="0" applyFill="1" applyBorder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7" fillId="4" borderId="0" xfId="0" applyFont="1" applyFill="1" applyAlignment="1">
      <alignment horizontal="left" vertical="top"/>
    </xf>
    <xf numFmtId="0" fontId="0" fillId="0" borderId="0" xfId="0" applyAlignment="1">
      <alignment horizontal="center" vertical="top"/>
    </xf>
    <xf numFmtId="0" fontId="17" fillId="14" borderId="1" xfId="0" applyFont="1" applyFill="1" applyBorder="1" applyAlignment="1">
      <alignment horizontal="center" vertical="top" wrapText="1"/>
    </xf>
    <xf numFmtId="165" fontId="18" fillId="15" borderId="1" xfId="0" applyNumberFormat="1" applyFont="1" applyFill="1" applyBorder="1" applyAlignment="1">
      <alignment horizontal="center" vertical="top" wrapText="1"/>
    </xf>
    <xf numFmtId="0" fontId="19" fillId="16" borderId="1" xfId="0" applyFont="1" applyFill="1" applyBorder="1" applyAlignment="1">
      <alignment horizontal="left" vertical="top" wrapText="1"/>
    </xf>
    <xf numFmtId="3" fontId="18" fillId="16" borderId="1" xfId="0" applyNumberFormat="1" applyFont="1" applyFill="1" applyBorder="1" applyAlignment="1">
      <alignment horizontal="right" vertical="top" wrapText="1"/>
    </xf>
    <xf numFmtId="3" fontId="18" fillId="16" borderId="1" xfId="0" applyNumberFormat="1" applyFont="1" applyFill="1" applyBorder="1" applyAlignment="1">
      <alignment horizontal="center" vertical="top" wrapText="1"/>
    </xf>
    <xf numFmtId="165" fontId="18" fillId="16" borderId="1" xfId="0" applyNumberFormat="1" applyFont="1" applyFill="1" applyBorder="1" applyAlignment="1">
      <alignment horizontal="right" vertical="top" wrapText="1"/>
    </xf>
    <xf numFmtId="0" fontId="20" fillId="17" borderId="1" xfId="0" applyFont="1" applyFill="1" applyBorder="1" applyAlignment="1">
      <alignment horizontal="left" vertical="top" wrapText="1"/>
    </xf>
    <xf numFmtId="0" fontId="22" fillId="0" borderId="3" xfId="0" applyFont="1" applyBorder="1" applyAlignment="1">
      <alignment vertical="top" wrapText="1"/>
    </xf>
    <xf numFmtId="0" fontId="18" fillId="18" borderId="1" xfId="0" applyFont="1" applyFill="1" applyBorder="1" applyAlignment="1">
      <alignment horizontal="left" vertical="top" wrapText="1"/>
    </xf>
    <xf numFmtId="0" fontId="27" fillId="0" borderId="1" xfId="0" applyFont="1" applyBorder="1"/>
    <xf numFmtId="0" fontId="28" fillId="0" borderId="1" xfId="0" applyFont="1" applyBorder="1"/>
    <xf numFmtId="0" fontId="29" fillId="0" borderId="1" xfId="2" applyBorder="1"/>
    <xf numFmtId="0" fontId="27" fillId="0" borderId="2" xfId="0" applyFont="1" applyBorder="1"/>
    <xf numFmtId="0" fontId="24" fillId="12" borderId="2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center" vertical="center" wrapText="1"/>
    </xf>
    <xf numFmtId="0" fontId="30" fillId="19" borderId="7" xfId="0" applyFont="1" applyFill="1" applyBorder="1" applyAlignment="1">
      <alignment horizontal="center" vertical="center" wrapText="1"/>
    </xf>
    <xf numFmtId="0" fontId="30" fillId="8" borderId="9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30" fillId="8" borderId="7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31" fillId="4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3" fillId="2" borderId="1" xfId="0" applyFont="1" applyFill="1" applyBorder="1"/>
    <xf numFmtId="0" fontId="0" fillId="0" borderId="0" xfId="0" applyAlignment="1">
      <alignment horizontal="center"/>
    </xf>
    <xf numFmtId="164" fontId="0" fillId="0" borderId="1" xfId="0" applyNumberFormat="1" applyBorder="1"/>
    <xf numFmtId="1" fontId="8" fillId="0" borderId="1" xfId="0" applyNumberFormat="1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2" fillId="12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center"/>
    </xf>
    <xf numFmtId="0" fontId="34" fillId="20" borderId="0" xfId="0" applyFont="1" applyFill="1" applyAlignment="1">
      <alignment horizontal="left"/>
    </xf>
    <xf numFmtId="0" fontId="34" fillId="20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165" fontId="2" fillId="0" borderId="7" xfId="0" applyNumberFormat="1" applyFont="1" applyBorder="1" applyAlignment="1">
      <alignment horizontal="center"/>
    </xf>
    <xf numFmtId="165" fontId="0" fillId="0" borderId="1" xfId="0" applyNumberFormat="1" applyBorder="1"/>
    <xf numFmtId="0" fontId="0" fillId="0" borderId="13" xfId="0" applyBorder="1" applyAlignment="1">
      <alignment horizontal="left"/>
    </xf>
    <xf numFmtId="165" fontId="2" fillId="0" borderId="3" xfId="0" applyNumberFormat="1" applyFont="1" applyBorder="1" applyAlignment="1">
      <alignment horizontal="center"/>
    </xf>
    <xf numFmtId="165" fontId="0" fillId="0" borderId="6" xfId="0" applyNumberFormat="1" applyBorder="1"/>
    <xf numFmtId="0" fontId="0" fillId="0" borderId="6" xfId="0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0" xfId="0" applyAlignment="1">
      <alignment horizontal="left"/>
    </xf>
    <xf numFmtId="0" fontId="34" fillId="20" borderId="2" xfId="0" applyFont="1" applyFill="1" applyBorder="1" applyAlignment="1">
      <alignment horizontal="left"/>
    </xf>
    <xf numFmtId="0" fontId="34" fillId="20" borderId="3" xfId="0" applyFont="1" applyFill="1" applyBorder="1" applyAlignment="1">
      <alignment horizontal="center"/>
    </xf>
    <xf numFmtId="0" fontId="2" fillId="12" borderId="0" xfId="0" applyFont="1" applyFill="1" applyAlignment="1">
      <alignment horizontal="left"/>
    </xf>
    <xf numFmtId="0" fontId="2" fillId="12" borderId="8" xfId="0" applyFont="1" applyFill="1" applyBorder="1" applyAlignment="1">
      <alignment horizontal="center"/>
    </xf>
    <xf numFmtId="0" fontId="0" fillId="4" borderId="13" xfId="0" applyFill="1" applyBorder="1"/>
    <xf numFmtId="0" fontId="0" fillId="4" borderId="6" xfId="0" applyFill="1" applyBorder="1"/>
    <xf numFmtId="0" fontId="34" fillId="12" borderId="2" xfId="0" applyFont="1" applyFill="1" applyBorder="1" applyAlignment="1">
      <alignment horizontal="left"/>
    </xf>
    <xf numFmtId="0" fontId="0" fillId="4" borderId="1" xfId="0" applyFill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17" fillId="14" borderId="1" xfId="0" applyFont="1" applyFill="1" applyBorder="1" applyAlignment="1">
      <alignment vertical="top" wrapText="1"/>
    </xf>
    <xf numFmtId="165" fontId="17" fillId="15" borderId="1" xfId="0" applyNumberFormat="1" applyFont="1" applyFill="1" applyBorder="1" applyAlignment="1">
      <alignment horizontal="center" vertical="top" wrapText="1"/>
    </xf>
    <xf numFmtId="1" fontId="17" fillId="14" borderId="1" xfId="0" applyNumberFormat="1" applyFont="1" applyFill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165" fontId="39" fillId="16" borderId="1" xfId="0" applyNumberFormat="1" applyFont="1" applyFill="1" applyBorder="1" applyAlignment="1">
      <alignment horizontal="right" vertical="top" wrapText="1"/>
    </xf>
    <xf numFmtId="0" fontId="22" fillId="0" borderId="1" xfId="0" applyFont="1" applyBorder="1" applyAlignment="1">
      <alignment horizontal="center" vertical="top" wrapText="1"/>
    </xf>
    <xf numFmtId="0" fontId="18" fillId="21" borderId="1" xfId="0" applyFont="1" applyFill="1" applyBorder="1" applyAlignment="1">
      <alignment vertical="top" wrapText="1"/>
    </xf>
    <xf numFmtId="0" fontId="18" fillId="0" borderId="1" xfId="0" applyFont="1" applyBorder="1" applyAlignment="1">
      <alignment horizontal="center" vertical="top" wrapText="1"/>
    </xf>
    <xf numFmtId="0" fontId="19" fillId="16" borderId="1" xfId="0" applyFont="1" applyFill="1" applyBorder="1" applyAlignment="1">
      <alignment vertical="top" wrapText="1"/>
    </xf>
    <xf numFmtId="0" fontId="18" fillId="18" borderId="1" xfId="0" applyFont="1" applyFill="1" applyBorder="1" applyAlignment="1">
      <alignment vertical="top" wrapText="1"/>
    </xf>
    <xf numFmtId="44" fontId="0" fillId="4" borderId="1" xfId="1" applyFont="1" applyFill="1" applyBorder="1"/>
    <xf numFmtId="0" fontId="22" fillId="0" borderId="2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top" wrapText="1"/>
    </xf>
    <xf numFmtId="0" fontId="0" fillId="4" borderId="1" xfId="0" applyFill="1" applyBorder="1" applyAlignment="1">
      <alignment horizontal="left"/>
    </xf>
    <xf numFmtId="165" fontId="0" fillId="4" borderId="1" xfId="0" applyNumberFormat="1" applyFill="1" applyBorder="1"/>
    <xf numFmtId="0" fontId="22" fillId="4" borderId="1" xfId="0" applyFont="1" applyFill="1" applyBorder="1" applyAlignment="1">
      <alignment horizontal="center" vertical="top" wrapText="1"/>
    </xf>
    <xf numFmtId="0" fontId="22" fillId="0" borderId="2" xfId="0" applyFont="1" applyBorder="1" applyAlignment="1">
      <alignment vertical="top" wrapText="1"/>
    </xf>
    <xf numFmtId="0" fontId="22" fillId="0" borderId="9" xfId="0" applyFont="1" applyBorder="1" applyAlignment="1">
      <alignment vertical="top" wrapText="1"/>
    </xf>
    <xf numFmtId="0" fontId="22" fillId="0" borderId="10" xfId="0" applyFont="1" applyBorder="1" applyAlignment="1">
      <alignment vertical="top" wrapText="1"/>
    </xf>
    <xf numFmtId="2" fontId="22" fillId="0" borderId="1" xfId="0" applyNumberFormat="1" applyFont="1" applyBorder="1" applyAlignment="1">
      <alignment horizontal="center" vertical="top" wrapText="1"/>
    </xf>
    <xf numFmtId="0" fontId="22" fillId="0" borderId="7" xfId="0" applyFont="1" applyBorder="1" applyAlignment="1">
      <alignment vertical="top" wrapText="1"/>
    </xf>
    <xf numFmtId="0" fontId="22" fillId="4" borderId="8" xfId="0" applyFont="1" applyFill="1" applyBorder="1" applyAlignment="1">
      <alignment horizontal="left" vertical="top" wrapText="1"/>
    </xf>
    <xf numFmtId="0" fontId="0" fillId="4" borderId="11" xfId="0" applyFill="1" applyBorder="1" applyAlignment="1">
      <alignment horizontal="center"/>
    </xf>
    <xf numFmtId="165" fontId="0" fillId="4" borderId="8" xfId="0" applyNumberFormat="1" applyFill="1" applyBorder="1"/>
    <xf numFmtId="1" fontId="8" fillId="11" borderId="1" xfId="0" applyNumberFormat="1" applyFont="1" applyFill="1" applyBorder="1" applyAlignment="1">
      <alignment vertical="top" wrapText="1"/>
    </xf>
    <xf numFmtId="44" fontId="0" fillId="0" borderId="0" xfId="1" applyFont="1" applyFill="1"/>
    <xf numFmtId="0" fontId="2" fillId="12" borderId="15" xfId="0" applyFont="1" applyFill="1" applyBorder="1" applyAlignment="1">
      <alignment horizontal="center"/>
    </xf>
    <xf numFmtId="44" fontId="0" fillId="0" borderId="1" xfId="1" applyFont="1" applyFill="1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4" borderId="6" xfId="0" applyFill="1" applyBorder="1" applyAlignment="1">
      <alignment horizontal="center"/>
    </xf>
    <xf numFmtId="4" fontId="0" fillId="0" borderId="1" xfId="0" applyNumberFormat="1" applyBorder="1" applyAlignment="1">
      <alignment horizontal="left"/>
    </xf>
    <xf numFmtId="4" fontId="0" fillId="0" borderId="1" xfId="0" applyNumberFormat="1" applyBorder="1"/>
    <xf numFmtId="0" fontId="0" fillId="0" borderId="1" xfId="0" applyBorder="1"/>
    <xf numFmtId="1" fontId="4" fillId="3" borderId="3" xfId="0" applyNumberFormat="1" applyFont="1" applyFill="1" applyBorder="1" applyAlignment="1">
      <alignment horizontal="center" vertical="top" wrapText="1"/>
    </xf>
    <xf numFmtId="1" fontId="8" fillId="11" borderId="3" xfId="0" applyNumberFormat="1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/>
    </xf>
    <xf numFmtId="0" fontId="2" fillId="12" borderId="5" xfId="0" applyFont="1" applyFill="1" applyBorder="1" applyAlignment="1">
      <alignment horizontal="left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5" fontId="2" fillId="0" borderId="6" xfId="0" applyNumberFormat="1" applyFont="1" applyBorder="1" applyAlignment="1">
      <alignment horizontal="center"/>
    </xf>
    <xf numFmtId="1" fontId="43" fillId="0" borderId="1" xfId="0" applyNumberFormat="1" applyFont="1" applyBorder="1" applyAlignment="1">
      <alignment horizontal="left" vertical="top" wrapText="1"/>
    </xf>
    <xf numFmtId="4" fontId="0" fillId="0" borderId="0" xfId="0" applyNumberFormat="1"/>
    <xf numFmtId="0" fontId="44" fillId="0" borderId="0" xfId="3"/>
    <xf numFmtId="166" fontId="44" fillId="0" borderId="0" xfId="3" applyNumberFormat="1"/>
    <xf numFmtId="0" fontId="44" fillId="0" borderId="0" xfId="3" applyAlignment="1">
      <alignment horizontal="center"/>
    </xf>
    <xf numFmtId="0" fontId="48" fillId="0" borderId="0" xfId="3" applyFont="1"/>
    <xf numFmtId="0" fontId="45" fillId="0" borderId="19" xfId="3" applyFont="1" applyBorder="1" applyAlignment="1">
      <alignment horizontal="center" vertical="center"/>
    </xf>
    <xf numFmtId="0" fontId="45" fillId="0" borderId="20" xfId="3" applyFont="1" applyBorder="1" applyAlignment="1">
      <alignment horizontal="left" vertical="center"/>
    </xf>
    <xf numFmtId="0" fontId="45" fillId="0" borderId="0" xfId="3" applyFont="1"/>
    <xf numFmtId="0" fontId="45" fillId="0" borderId="17" xfId="3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45" fillId="0" borderId="17" xfId="3" applyFont="1" applyBorder="1" applyAlignment="1">
      <alignment horizontal="left" vertical="center"/>
    </xf>
    <xf numFmtId="0" fontId="45" fillId="0" borderId="17" xfId="3" applyFont="1" applyBorder="1" applyAlignment="1">
      <alignment vertical="center" wrapText="1"/>
    </xf>
    <xf numFmtId="0" fontId="0" fillId="0" borderId="13" xfId="0" applyBorder="1"/>
    <xf numFmtId="0" fontId="0" fillId="0" borderId="4" xfId="0" applyBorder="1"/>
    <xf numFmtId="0" fontId="49" fillId="24" borderId="22" xfId="3" applyFont="1" applyFill="1" applyBorder="1" applyAlignment="1">
      <alignment horizontal="center" vertical="center"/>
    </xf>
    <xf numFmtId="0" fontId="49" fillId="24" borderId="23" xfId="3" applyFont="1" applyFill="1" applyBorder="1" applyAlignment="1">
      <alignment horizontal="center" vertical="center"/>
    </xf>
    <xf numFmtId="0" fontId="49" fillId="24" borderId="24" xfId="3" applyFont="1" applyFill="1" applyBorder="1" applyAlignment="1">
      <alignment horizontal="center" vertical="center"/>
    </xf>
    <xf numFmtId="0" fontId="50" fillId="0" borderId="33" xfId="3" applyFont="1" applyBorder="1" applyAlignment="1">
      <alignment horizontal="right"/>
    </xf>
    <xf numFmtId="0" fontId="49" fillId="0" borderId="35" xfId="3" applyFont="1" applyBorder="1" applyAlignment="1">
      <alignment horizontal="right"/>
    </xf>
    <xf numFmtId="166" fontId="49" fillId="24" borderId="25" xfId="3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/>
    </xf>
    <xf numFmtId="0" fontId="19" fillId="16" borderId="7" xfId="0" applyFont="1" applyFill="1" applyBorder="1" applyAlignment="1">
      <alignment horizontal="left" vertical="top" wrapText="1"/>
    </xf>
    <xf numFmtId="0" fontId="20" fillId="17" borderId="7" xfId="0" applyFont="1" applyFill="1" applyBorder="1" applyAlignment="1">
      <alignment horizontal="left" vertical="top" wrapText="1"/>
    </xf>
    <xf numFmtId="4" fontId="0" fillId="0" borderId="5" xfId="0" applyNumberFormat="1" applyBorder="1" applyAlignment="1">
      <alignment vertical="top"/>
    </xf>
    <xf numFmtId="4" fontId="0" fillId="5" borderId="1" xfId="0" applyNumberFormat="1" applyFill="1" applyBorder="1" applyAlignment="1">
      <alignment vertical="top"/>
    </xf>
    <xf numFmtId="4" fontId="0" fillId="6" borderId="5" xfId="0" applyNumberFormat="1" applyFill="1" applyBorder="1" applyAlignment="1">
      <alignment vertical="top"/>
    </xf>
    <xf numFmtId="4" fontId="0" fillId="7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6" borderId="1" xfId="0" applyNumberFormat="1" applyFill="1" applyBorder="1" applyAlignment="1">
      <alignment vertical="top"/>
    </xf>
    <xf numFmtId="39" fontId="11" fillId="9" borderId="8" xfId="0" applyNumberFormat="1" applyFont="1" applyFill="1" applyBorder="1" applyAlignment="1">
      <alignment horizontal="right" vertical="top" wrapText="1"/>
    </xf>
    <xf numFmtId="39" fontId="14" fillId="12" borderId="1" xfId="0" applyNumberFormat="1" applyFont="1" applyFill="1" applyBorder="1" applyAlignment="1">
      <alignment horizontal="right" vertical="top" wrapText="1"/>
    </xf>
    <xf numFmtId="39" fontId="14" fillId="4" borderId="1" xfId="0" applyNumberFormat="1" applyFont="1" applyFill="1" applyBorder="1" applyAlignment="1">
      <alignment vertical="top" wrapText="1"/>
    </xf>
    <xf numFmtId="39" fontId="0" fillId="2" borderId="1" xfId="0" applyNumberFormat="1" applyFill="1" applyBorder="1" applyAlignment="1">
      <alignment vertical="top"/>
    </xf>
    <xf numFmtId="39" fontId="0" fillId="0" borderId="3" xfId="0" applyNumberFormat="1" applyBorder="1" applyAlignment="1">
      <alignment vertical="top"/>
    </xf>
    <xf numFmtId="4" fontId="0" fillId="0" borderId="10" xfId="0" applyNumberFormat="1" applyBorder="1" applyAlignment="1">
      <alignment vertical="top"/>
    </xf>
    <xf numFmtId="4" fontId="2" fillId="9" borderId="8" xfId="0" applyNumberFormat="1" applyFont="1" applyFill="1" applyBorder="1" applyAlignment="1">
      <alignment vertical="top"/>
    </xf>
    <xf numFmtId="4" fontId="0" fillId="0" borderId="0" xfId="0" applyNumberFormat="1" applyAlignment="1">
      <alignment vertical="top"/>
    </xf>
    <xf numFmtId="4" fontId="2" fillId="0" borderId="0" xfId="0" applyNumberFormat="1" applyFont="1" applyAlignment="1">
      <alignment horizontal="right" vertical="top"/>
    </xf>
    <xf numFmtId="4" fontId="2" fillId="10" borderId="8" xfId="0" applyNumberFormat="1" applyFont="1" applyFill="1" applyBorder="1" applyAlignment="1">
      <alignment vertical="top"/>
    </xf>
    <xf numFmtId="39" fontId="2" fillId="5" borderId="8" xfId="0" applyNumberFormat="1" applyFont="1" applyFill="1" applyBorder="1" applyAlignment="1">
      <alignment vertical="top"/>
    </xf>
    <xf numFmtId="39" fontId="2" fillId="12" borderId="1" xfId="0" applyNumberFormat="1" applyFont="1" applyFill="1" applyBorder="1" applyAlignment="1">
      <alignment vertical="top"/>
    </xf>
    <xf numFmtId="39" fontId="2" fillId="0" borderId="1" xfId="0" applyNumberFormat="1" applyFont="1" applyBorder="1" applyAlignment="1">
      <alignment vertical="top"/>
    </xf>
    <xf numFmtId="39" fontId="0" fillId="0" borderId="1" xfId="0" applyNumberFormat="1" applyBorder="1" applyAlignment="1">
      <alignment vertical="top"/>
    </xf>
    <xf numFmtId="4" fontId="18" fillId="15" borderId="1" xfId="0" applyNumberFormat="1" applyFont="1" applyFill="1" applyBorder="1" applyAlignment="1">
      <alignment horizontal="right" vertical="top"/>
    </xf>
    <xf numFmtId="4" fontId="18" fillId="0" borderId="1" xfId="0" applyNumberFormat="1" applyFont="1" applyBorder="1" applyAlignment="1">
      <alignment horizontal="center" vertical="top" wrapText="1"/>
    </xf>
    <xf numFmtId="4" fontId="18" fillId="15" borderId="1" xfId="0" applyNumberFormat="1" applyFont="1" applyFill="1" applyBorder="1" applyAlignment="1">
      <alignment horizontal="right" vertical="top" wrapText="1"/>
    </xf>
    <xf numFmtId="4" fontId="21" fillId="0" borderId="1" xfId="0" applyNumberFormat="1" applyFont="1" applyBorder="1" applyAlignment="1">
      <alignment horizontal="right" vertical="top"/>
    </xf>
    <xf numFmtId="4" fontId="18" fillId="16" borderId="1" xfId="0" applyNumberFormat="1" applyFont="1" applyFill="1" applyBorder="1" applyAlignment="1">
      <alignment horizontal="right" vertical="top" wrapText="1"/>
    </xf>
    <xf numFmtId="4" fontId="18" fillId="16" borderId="1" xfId="0" applyNumberFormat="1" applyFont="1" applyFill="1" applyBorder="1" applyAlignment="1">
      <alignment horizontal="center" vertical="top" wrapText="1"/>
    </xf>
    <xf numFmtId="4" fontId="18" fillId="15" borderId="3" xfId="0" applyNumberFormat="1" applyFont="1" applyFill="1" applyBorder="1" applyAlignment="1">
      <alignment horizontal="right" vertical="top"/>
    </xf>
    <xf numFmtId="4" fontId="23" fillId="0" borderId="7" xfId="0" applyNumberFormat="1" applyFont="1" applyBorder="1" applyAlignment="1">
      <alignment vertical="top"/>
    </xf>
    <xf numFmtId="4" fontId="21" fillId="4" borderId="1" xfId="0" applyNumberFormat="1" applyFont="1" applyFill="1" applyBorder="1" applyAlignment="1">
      <alignment horizontal="right" vertical="top" wrapText="1"/>
    </xf>
    <xf numFmtId="4" fontId="21" fillId="0" borderId="1" xfId="0" applyNumberFormat="1" applyFont="1" applyBorder="1" applyAlignment="1">
      <alignment horizontal="right" vertical="top" wrapText="1"/>
    </xf>
    <xf numFmtId="4" fontId="24" fillId="0" borderId="2" xfId="0" applyNumberFormat="1" applyFont="1" applyBorder="1" applyAlignment="1">
      <alignment vertical="top" wrapText="1"/>
    </xf>
    <xf numFmtId="4" fontId="22" fillId="0" borderId="7" xfId="0" applyNumberFormat="1" applyFont="1" applyBorder="1" applyAlignment="1">
      <alignment vertical="top"/>
    </xf>
    <xf numFmtId="4" fontId="25" fillId="4" borderId="1" xfId="0" applyNumberFormat="1" applyFont="1" applyFill="1" applyBorder="1" applyAlignment="1">
      <alignment horizontal="right" vertical="top"/>
    </xf>
    <xf numFmtId="4" fontId="26" fillId="0" borderId="1" xfId="0" applyNumberFormat="1" applyFont="1" applyBorder="1" applyAlignment="1">
      <alignment vertical="top"/>
    </xf>
    <xf numFmtId="4" fontId="13" fillId="0" borderId="1" xfId="0" applyNumberFormat="1" applyFont="1" applyBorder="1" applyAlignment="1">
      <alignment vertical="top"/>
    </xf>
    <xf numFmtId="2" fontId="18" fillId="16" borderId="1" xfId="0" applyNumberFormat="1" applyFont="1" applyFill="1" applyBorder="1" applyAlignment="1">
      <alignment horizontal="center" vertical="top" wrapText="1"/>
    </xf>
    <xf numFmtId="2" fontId="18" fillId="0" borderId="1" xfId="0" applyNumberFormat="1" applyFont="1" applyBorder="1" applyAlignment="1">
      <alignment horizontal="center" vertical="top" wrapText="1"/>
    </xf>
    <xf numFmtId="1" fontId="18" fillId="16" borderId="1" xfId="0" applyNumberFormat="1" applyFont="1" applyFill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wrapText="1"/>
    </xf>
    <xf numFmtId="1" fontId="18" fillId="0" borderId="7" xfId="0" applyNumberFormat="1" applyFont="1" applyBorder="1" applyAlignment="1">
      <alignment horizontal="center" vertical="top" wrapText="1"/>
    </xf>
    <xf numFmtId="1" fontId="18" fillId="4" borderId="1" xfId="0" applyNumberFormat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4" fontId="0" fillId="4" borderId="1" xfId="0" applyNumberFormat="1" applyFill="1" applyBorder="1"/>
    <xf numFmtId="4" fontId="0" fillId="7" borderId="1" xfId="0" applyNumberFormat="1" applyFill="1" applyBorder="1"/>
    <xf numFmtId="4" fontId="0" fillId="5" borderId="1" xfId="0" applyNumberFormat="1" applyFill="1" applyBorder="1"/>
    <xf numFmtId="4" fontId="0" fillId="22" borderId="1" xfId="0" applyNumberFormat="1" applyFill="1" applyBorder="1"/>
    <xf numFmtId="4" fontId="0" fillId="10" borderId="1" xfId="0" applyNumberFormat="1" applyFill="1" applyBorder="1"/>
    <xf numFmtId="4" fontId="0" fillId="4" borderId="8" xfId="0" applyNumberFormat="1" applyFill="1" applyBorder="1"/>
    <xf numFmtId="4" fontId="0" fillId="7" borderId="9" xfId="0" applyNumberFormat="1" applyFill="1" applyBorder="1"/>
    <xf numFmtId="4" fontId="0" fillId="5" borderId="8" xfId="0" applyNumberFormat="1" applyFill="1" applyBorder="1"/>
    <xf numFmtId="4" fontId="0" fillId="22" borderId="8" xfId="0" applyNumberFormat="1" applyFill="1" applyBorder="1"/>
    <xf numFmtId="4" fontId="0" fillId="10" borderId="8" xfId="0" applyNumberFormat="1" applyFill="1" applyBorder="1"/>
    <xf numFmtId="4" fontId="2" fillId="0" borderId="2" xfId="0" applyNumberFormat="1" applyFont="1" applyBorder="1" applyAlignment="1">
      <alignment horizontal="center"/>
    </xf>
    <xf numFmtId="4" fontId="35" fillId="9" borderId="1" xfId="0" applyNumberFormat="1" applyFont="1" applyFill="1" applyBorder="1"/>
    <xf numFmtId="4" fontId="0" fillId="0" borderId="6" xfId="0" applyNumberFormat="1" applyBorder="1"/>
    <xf numFmtId="4" fontId="2" fillId="0" borderId="3" xfId="0" applyNumberFormat="1" applyFont="1" applyBorder="1" applyAlignment="1">
      <alignment horizontal="center"/>
    </xf>
    <xf numFmtId="4" fontId="35" fillId="2" borderId="1" xfId="0" applyNumberFormat="1" applyFont="1" applyFill="1" applyBorder="1"/>
    <xf numFmtId="4" fontId="40" fillId="2" borderId="1" xfId="0" applyNumberFormat="1" applyFont="1" applyFill="1" applyBorder="1"/>
    <xf numFmtId="4" fontId="0" fillId="0" borderId="6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34" fillId="20" borderId="0" xfId="0" applyNumberFormat="1" applyFont="1" applyFill="1" applyAlignment="1">
      <alignment horizontal="center"/>
    </xf>
    <xf numFmtId="4" fontId="2" fillId="12" borderId="5" xfId="0" applyNumberFormat="1" applyFont="1" applyFill="1" applyBorder="1" applyAlignment="1">
      <alignment horizontal="center"/>
    </xf>
    <xf numFmtId="4" fontId="0" fillId="0" borderId="1" xfId="1" applyNumberFormat="1" applyFont="1" applyBorder="1" applyAlignment="1">
      <alignment horizontal="center"/>
    </xf>
    <xf numFmtId="4" fontId="0" fillId="7" borderId="1" xfId="1" applyNumberFormat="1" applyFont="1" applyFill="1" applyBorder="1" applyAlignment="1">
      <alignment horizontal="center"/>
    </xf>
    <xf numFmtId="4" fontId="0" fillId="5" borderId="1" xfId="1" applyNumberFormat="1" applyFont="1" applyFill="1" applyBorder="1" applyAlignment="1">
      <alignment horizontal="center"/>
    </xf>
    <xf numFmtId="4" fontId="0" fillId="23" borderId="1" xfId="1" applyNumberFormat="1" applyFont="1" applyFill="1" applyBorder="1" applyAlignment="1">
      <alignment horizontal="center"/>
    </xf>
    <xf numFmtId="4" fontId="0" fillId="10" borderId="1" xfId="1" applyNumberFormat="1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4" fontId="0" fillId="9" borderId="1" xfId="0" applyNumberFormat="1" applyFill="1" applyBorder="1"/>
    <xf numFmtId="4" fontId="2" fillId="2" borderId="1" xfId="0" applyNumberFormat="1" applyFont="1" applyFill="1" applyBorder="1" applyAlignment="1">
      <alignment horizontal="right"/>
    </xf>
    <xf numFmtId="4" fontId="0" fillId="2" borderId="1" xfId="0" applyNumberFormat="1" applyFill="1" applyBorder="1"/>
    <xf numFmtId="4" fontId="41" fillId="2" borderId="1" xfId="0" applyNumberFormat="1" applyFont="1" applyFill="1" applyBorder="1"/>
    <xf numFmtId="4" fontId="34" fillId="20" borderId="3" xfId="0" applyNumberFormat="1" applyFont="1" applyFill="1" applyBorder="1" applyAlignment="1">
      <alignment horizontal="center"/>
    </xf>
    <xf numFmtId="4" fontId="34" fillId="20" borderId="7" xfId="0" applyNumberFormat="1" applyFont="1" applyFill="1" applyBorder="1" applyAlignment="1">
      <alignment horizontal="center"/>
    </xf>
    <xf numFmtId="4" fontId="2" fillId="12" borderId="8" xfId="0" applyNumberFormat="1" applyFont="1" applyFill="1" applyBorder="1" applyAlignment="1">
      <alignment horizontal="center"/>
    </xf>
    <xf numFmtId="4" fontId="0" fillId="4" borderId="7" xfId="0" applyNumberFormat="1" applyFill="1" applyBorder="1"/>
    <xf numFmtId="4" fontId="0" fillId="4" borderId="4" xfId="0" applyNumberFormat="1" applyFill="1" applyBorder="1"/>
    <xf numFmtId="4" fontId="0" fillId="7" borderId="8" xfId="0" applyNumberFormat="1" applyFill="1" applyBorder="1"/>
    <xf numFmtId="4" fontId="2" fillId="9" borderId="8" xfId="0" applyNumberFormat="1" applyFont="1" applyFill="1" applyBorder="1" applyAlignment="1">
      <alignment horizontal="right"/>
    </xf>
    <xf numFmtId="4" fontId="2" fillId="9" borderId="8" xfId="0" applyNumberFormat="1" applyFont="1" applyFill="1" applyBorder="1"/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4" fontId="2" fillId="12" borderId="15" xfId="0" applyNumberFormat="1" applyFont="1" applyFill="1" applyBorder="1" applyAlignment="1">
      <alignment horizontal="center"/>
    </xf>
    <xf numFmtId="4" fontId="0" fillId="0" borderId="1" xfId="1" applyNumberFormat="1" applyFont="1" applyFill="1" applyBorder="1"/>
    <xf numFmtId="4" fontId="0" fillId="7" borderId="1" xfId="1" applyNumberFormat="1" applyFont="1" applyFill="1" applyBorder="1" applyAlignment="1">
      <alignment horizontal="right"/>
    </xf>
    <xf numFmtId="4" fontId="0" fillId="5" borderId="1" xfId="1" applyNumberFormat="1" applyFont="1" applyFill="1" applyBorder="1"/>
    <xf numFmtId="4" fontId="0" fillId="22" borderId="1" xfId="1" applyNumberFormat="1" applyFont="1" applyFill="1" applyBorder="1"/>
    <xf numFmtId="4" fontId="2" fillId="7" borderId="1" xfId="1" applyNumberFormat="1" applyFont="1" applyFill="1" applyBorder="1" applyAlignment="1">
      <alignment horizontal="right"/>
    </xf>
    <xf numFmtId="4" fontId="2" fillId="5" borderId="1" xfId="1" applyNumberFormat="1" applyFont="1" applyFill="1" applyBorder="1"/>
    <xf numFmtId="4" fontId="2" fillId="22" borderId="1" xfId="1" applyNumberFormat="1" applyFont="1" applyFill="1" applyBorder="1"/>
    <xf numFmtId="4" fontId="2" fillId="0" borderId="1" xfId="1" applyNumberFormat="1" applyFont="1" applyFill="1" applyBorder="1"/>
    <xf numFmtId="4" fontId="0" fillId="0" borderId="0" xfId="1" applyNumberFormat="1" applyFont="1" applyFill="1" applyBorder="1"/>
    <xf numFmtId="4" fontId="2" fillId="0" borderId="1" xfId="1" applyNumberFormat="1" applyFont="1" applyFill="1" applyBorder="1" applyAlignment="1">
      <alignment horizontal="right"/>
    </xf>
    <xf numFmtId="4" fontId="2" fillId="12" borderId="1" xfId="1" applyNumberFormat="1" applyFont="1" applyFill="1" applyBorder="1" applyAlignment="1">
      <alignment horizontal="right"/>
    </xf>
    <xf numFmtId="4" fontId="2" fillId="12" borderId="1" xfId="1" applyNumberFormat="1" applyFont="1" applyFill="1" applyBorder="1"/>
    <xf numFmtId="4" fontId="0" fillId="0" borderId="3" xfId="0" applyNumberFormat="1" applyBorder="1"/>
    <xf numFmtId="4" fontId="0" fillId="0" borderId="7" xfId="0" applyNumberFormat="1" applyBorder="1"/>
    <xf numFmtId="4" fontId="0" fillId="4" borderId="1" xfId="1" applyNumberFormat="1" applyFont="1" applyFill="1" applyBorder="1"/>
    <xf numFmtId="4" fontId="0" fillId="7" borderId="1" xfId="1" applyNumberFormat="1" applyFont="1" applyFill="1" applyBorder="1"/>
    <xf numFmtId="4" fontId="0" fillId="10" borderId="1" xfId="1" applyNumberFormat="1" applyFont="1" applyFill="1" applyBorder="1"/>
    <xf numFmtId="4" fontId="2" fillId="4" borderId="1" xfId="0" applyNumberFormat="1" applyFont="1" applyFill="1" applyBorder="1" applyAlignment="1">
      <alignment horizontal="right"/>
    </xf>
    <xf numFmtId="4" fontId="2" fillId="2" borderId="1" xfId="1" applyNumberFormat="1" applyFont="1" applyFill="1" applyBorder="1" applyAlignment="1">
      <alignment horizontal="right"/>
    </xf>
    <xf numFmtId="4" fontId="2" fillId="9" borderId="1" xfId="1" applyNumberFormat="1" applyFont="1" applyFill="1" applyBorder="1"/>
    <xf numFmtId="4" fontId="2" fillId="4" borderId="3" xfId="0" applyNumberFormat="1" applyFont="1" applyFill="1" applyBorder="1" applyAlignment="1">
      <alignment horizontal="right"/>
    </xf>
    <xf numFmtId="4" fontId="0" fillId="4" borderId="3" xfId="0" applyNumberFormat="1" applyFill="1" applyBorder="1"/>
    <xf numFmtId="4" fontId="2" fillId="12" borderId="8" xfId="0" applyNumberFormat="1" applyFont="1" applyFill="1" applyBorder="1" applyAlignment="1">
      <alignment horizontal="right"/>
    </xf>
    <xf numFmtId="4" fontId="0" fillId="0" borderId="2" xfId="0" applyNumberFormat="1" applyBorder="1"/>
    <xf numFmtId="4" fontId="2" fillId="0" borderId="1" xfId="0" applyNumberFormat="1" applyFont="1" applyBorder="1"/>
    <xf numFmtId="4" fontId="24" fillId="0" borderId="3" xfId="0" applyNumberFormat="1" applyFont="1" applyBorder="1" applyAlignment="1">
      <alignment vertical="top" wrapText="1"/>
    </xf>
    <xf numFmtId="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vertical="top"/>
    </xf>
    <xf numFmtId="4" fontId="2" fillId="0" borderId="8" xfId="0" applyNumberFormat="1" applyFont="1" applyBorder="1" applyAlignment="1">
      <alignment horizontal="center"/>
    </xf>
    <xf numFmtId="2" fontId="18" fillId="15" borderId="1" xfId="0" applyNumberFormat="1" applyFont="1" applyFill="1" applyBorder="1" applyAlignment="1">
      <alignment horizontal="right" vertical="top" wrapText="1"/>
    </xf>
    <xf numFmtId="2" fontId="21" fillId="0" borderId="1" xfId="0" applyNumberFormat="1" applyFont="1" applyBorder="1" applyAlignment="1">
      <alignment horizontal="right" vertical="top" wrapText="1"/>
    </xf>
    <xf numFmtId="2" fontId="39" fillId="16" borderId="1" xfId="0" applyNumberFormat="1" applyFont="1" applyFill="1" applyBorder="1" applyAlignment="1">
      <alignment horizontal="right" vertical="top" wrapText="1"/>
    </xf>
    <xf numFmtId="2" fontId="18" fillId="16" borderId="1" xfId="0" applyNumberFormat="1" applyFont="1" applyFill="1" applyBorder="1" applyAlignment="1">
      <alignment horizontal="right" vertical="top" wrapText="1"/>
    </xf>
    <xf numFmtId="2" fontId="18" fillId="15" borderId="1" xfId="0" applyNumberFormat="1" applyFont="1" applyFill="1" applyBorder="1" applyAlignment="1">
      <alignment horizontal="right" vertical="top"/>
    </xf>
    <xf numFmtId="2" fontId="25" fillId="4" borderId="1" xfId="0" applyNumberFormat="1" applyFont="1" applyFill="1" applyBorder="1" applyAlignment="1">
      <alignment horizontal="right" vertical="top" wrapText="1"/>
    </xf>
    <xf numFmtId="2" fontId="26" fillId="0" borderId="1" xfId="0" applyNumberFormat="1" applyFont="1" applyBorder="1" applyAlignment="1">
      <alignment vertical="top"/>
    </xf>
    <xf numFmtId="2" fontId="13" fillId="0" borderId="1" xfId="0" applyNumberFormat="1" applyFont="1" applyBorder="1" applyAlignment="1">
      <alignment vertical="top"/>
    </xf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center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vertical="center"/>
    </xf>
    <xf numFmtId="0" fontId="28" fillId="4" borderId="1" xfId="0" applyFont="1" applyFill="1" applyBorder="1"/>
    <xf numFmtId="0" fontId="28" fillId="4" borderId="1" xfId="0" applyFont="1" applyFill="1" applyBorder="1" applyAlignment="1">
      <alignment wrapText="1"/>
    </xf>
    <xf numFmtId="0" fontId="28" fillId="0" borderId="1" xfId="0" applyFont="1" applyBorder="1" applyAlignment="1">
      <alignment horizontal="left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vertical="center"/>
    </xf>
    <xf numFmtId="0" fontId="33" fillId="27" borderId="1" xfId="0" applyFont="1" applyFill="1" applyBorder="1" applyAlignment="1">
      <alignment horizontal="center"/>
    </xf>
    <xf numFmtId="0" fontId="23" fillId="29" borderId="1" xfId="0" applyFont="1" applyFill="1" applyBorder="1" applyAlignment="1">
      <alignment horizontal="right"/>
    </xf>
    <xf numFmtId="0" fontId="23" fillId="29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4" borderId="2" xfId="0" applyFill="1" applyBorder="1"/>
    <xf numFmtId="0" fontId="0" fillId="4" borderId="7" xfId="0" applyFill="1" applyBorder="1"/>
    <xf numFmtId="0" fontId="2" fillId="4" borderId="2" xfId="0" applyFont="1" applyFill="1" applyBorder="1"/>
    <xf numFmtId="0" fontId="28" fillId="29" borderId="1" xfId="0" applyFont="1" applyFill="1" applyBorder="1"/>
    <xf numFmtId="0" fontId="33" fillId="2" borderId="11" xfId="0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/>
    </xf>
    <xf numFmtId="0" fontId="33" fillId="2" borderId="2" xfId="0" applyFont="1" applyFill="1" applyBorder="1" applyAlignment="1">
      <alignment horizontal="center"/>
    </xf>
    <xf numFmtId="0" fontId="28" fillId="2" borderId="1" xfId="0" applyFont="1" applyFill="1" applyBorder="1" applyAlignment="1">
      <alignment vertical="center"/>
    </xf>
    <xf numFmtId="0" fontId="28" fillId="2" borderId="1" xfId="0" applyFont="1" applyFill="1" applyBorder="1"/>
    <xf numFmtId="0" fontId="23" fillId="4" borderId="1" xfId="0" applyFont="1" applyFill="1" applyBorder="1"/>
    <xf numFmtId="0" fontId="2" fillId="2" borderId="2" xfId="0" applyFont="1" applyFill="1" applyBorder="1"/>
    <xf numFmtId="0" fontId="0" fillId="2" borderId="7" xfId="0" applyFill="1" applyBorder="1"/>
    <xf numFmtId="0" fontId="28" fillId="2" borderId="1" xfId="0" applyFont="1" applyFill="1" applyBorder="1" applyAlignment="1">
      <alignment horizontal="left"/>
    </xf>
    <xf numFmtId="0" fontId="28" fillId="2" borderId="1" xfId="0" applyFont="1" applyFill="1" applyBorder="1" applyAlignment="1">
      <alignment horizontal="center"/>
    </xf>
    <xf numFmtId="0" fontId="23" fillId="2" borderId="1" xfId="0" applyFont="1" applyFill="1" applyBorder="1"/>
    <xf numFmtId="0" fontId="2" fillId="2" borderId="1" xfId="0" applyFont="1" applyFill="1" applyBorder="1"/>
    <xf numFmtId="0" fontId="0" fillId="2" borderId="2" xfId="0" applyFill="1" applyBorder="1"/>
    <xf numFmtId="4" fontId="0" fillId="0" borderId="1" xfId="1" applyNumberFormat="1" applyFont="1" applyBorder="1" applyAlignment="1">
      <alignment vertical="top"/>
    </xf>
    <xf numFmtId="4" fontId="9" fillId="0" borderId="1" xfId="1" applyNumberFormat="1" applyFont="1" applyBorder="1" applyAlignment="1">
      <alignment vertical="top"/>
    </xf>
    <xf numFmtId="4" fontId="0" fillId="0" borderId="3" xfId="1" applyNumberFormat="1" applyFont="1" applyBorder="1" applyAlignment="1">
      <alignment vertical="top"/>
    </xf>
    <xf numFmtId="4" fontId="0" fillId="0" borderId="3" xfId="0" applyNumberFormat="1" applyBorder="1" applyAlignment="1">
      <alignment vertical="top"/>
    </xf>
    <xf numFmtId="4" fontId="2" fillId="4" borderId="3" xfId="0" applyNumberFormat="1" applyFont="1" applyFill="1" applyBorder="1" applyAlignment="1">
      <alignment horizontal="right" vertical="top"/>
    </xf>
    <xf numFmtId="4" fontId="2" fillId="9" borderId="1" xfId="0" applyNumberFormat="1" applyFont="1" applyFill="1" applyBorder="1" applyAlignment="1">
      <alignment vertical="top"/>
    </xf>
    <xf numFmtId="4" fontId="0" fillId="0" borderId="1" xfId="0" applyNumberFormat="1" applyBorder="1" applyAlignment="1">
      <alignment vertical="top" wrapText="1"/>
    </xf>
    <xf numFmtId="4" fontId="10" fillId="11" borderId="11" xfId="0" applyNumberFormat="1" applyFont="1" applyFill="1" applyBorder="1" applyAlignment="1">
      <alignment horizontal="right" vertical="top" wrapText="1"/>
    </xf>
    <xf numFmtId="4" fontId="11" fillId="9" borderId="8" xfId="0" applyNumberFormat="1" applyFont="1" applyFill="1" applyBorder="1" applyAlignment="1">
      <alignment horizontal="right" vertical="top" wrapText="1"/>
    </xf>
    <xf numFmtId="4" fontId="13" fillId="11" borderId="10" xfId="0" applyNumberFormat="1" applyFont="1" applyFill="1" applyBorder="1" applyAlignment="1">
      <alignment horizontal="right" vertical="top" wrapText="1"/>
    </xf>
    <xf numFmtId="4" fontId="14" fillId="2" borderId="1" xfId="0" applyNumberFormat="1" applyFont="1" applyFill="1" applyBorder="1" applyAlignment="1">
      <alignment horizontal="right" vertical="top" wrapText="1"/>
    </xf>
    <xf numFmtId="4" fontId="14" fillId="4" borderId="1" xfId="0" applyNumberFormat="1" applyFont="1" applyFill="1" applyBorder="1" applyAlignment="1">
      <alignment vertical="top" wrapText="1"/>
    </xf>
    <xf numFmtId="0" fontId="58" fillId="0" borderId="0" xfId="0" applyFont="1"/>
    <xf numFmtId="39" fontId="0" fillId="0" borderId="1" xfId="0" applyNumberFormat="1" applyBorder="1"/>
    <xf numFmtId="0" fontId="24" fillId="0" borderId="13" xfId="0" applyFont="1" applyBorder="1" applyAlignment="1">
      <alignment horizontal="center" vertical="top" wrapText="1"/>
    </xf>
    <xf numFmtId="4" fontId="0" fillId="0" borderId="1" xfId="1" applyNumberFormat="1" applyFont="1" applyFill="1" applyBorder="1" applyAlignment="1">
      <alignment vertical="top"/>
    </xf>
    <xf numFmtId="4" fontId="9" fillId="0" borderId="1" xfId="1" applyNumberFormat="1" applyFont="1" applyFill="1" applyBorder="1" applyAlignment="1">
      <alignment vertical="top"/>
    </xf>
    <xf numFmtId="4" fontId="8" fillId="11" borderId="3" xfId="0" applyNumberFormat="1" applyFont="1" applyFill="1" applyBorder="1" applyAlignment="1">
      <alignment vertical="top" wrapText="1"/>
    </xf>
    <xf numFmtId="4" fontId="12" fillId="11" borderId="10" xfId="0" applyNumberFormat="1" applyFont="1" applyFill="1" applyBorder="1" applyAlignment="1">
      <alignment horizontal="center" vertical="top" wrapText="1"/>
    </xf>
    <xf numFmtId="4" fontId="3" fillId="3" borderId="3" xfId="0" applyNumberFormat="1" applyFont="1" applyFill="1" applyBorder="1" applyAlignment="1">
      <alignment vertical="top"/>
    </xf>
    <xf numFmtId="4" fontId="0" fillId="3" borderId="3" xfId="0" applyNumberFormat="1" applyFill="1" applyBorder="1" applyAlignment="1">
      <alignment horizontal="center" vertical="top"/>
    </xf>
    <xf numFmtId="164" fontId="0" fillId="0" borderId="7" xfId="0" applyNumberFormat="1" applyBorder="1" applyAlignment="1">
      <alignment vertical="top"/>
    </xf>
    <xf numFmtId="4" fontId="9" fillId="0" borderId="3" xfId="1" applyNumberFormat="1" applyFont="1" applyBorder="1" applyAlignment="1">
      <alignment vertical="top"/>
    </xf>
    <xf numFmtId="4" fontId="0" fillId="5" borderId="3" xfId="0" applyNumberFormat="1" applyFill="1" applyBorder="1" applyAlignment="1">
      <alignment vertical="top"/>
    </xf>
    <xf numFmtId="0" fontId="42" fillId="0" borderId="5" xfId="0" applyFont="1" applyBorder="1" applyAlignment="1" applyProtection="1">
      <alignment wrapText="1"/>
      <protection locked="0"/>
    </xf>
    <xf numFmtId="0" fontId="42" fillId="0" borderId="1" xfId="0" applyFont="1" applyBorder="1" applyAlignment="1" applyProtection="1">
      <alignment vertical="center" wrapText="1"/>
      <protection locked="0"/>
    </xf>
    <xf numFmtId="0" fontId="42" fillId="0" borderId="5" xfId="0" applyFont="1" applyBorder="1" applyAlignment="1" applyProtection="1">
      <alignment vertical="center" wrapText="1"/>
      <protection locked="0"/>
    </xf>
    <xf numFmtId="0" fontId="0" fillId="0" borderId="5" xfId="0" applyBorder="1" applyAlignment="1">
      <alignment horizontal="left"/>
    </xf>
    <xf numFmtId="4" fontId="44" fillId="0" borderId="5" xfId="1" applyNumberFormat="1" applyFont="1" applyBorder="1" applyProtection="1">
      <protection locked="0"/>
    </xf>
    <xf numFmtId="0" fontId="22" fillId="4" borderId="1" xfId="0" applyFont="1" applyFill="1" applyBorder="1" applyAlignment="1">
      <alignment horizontal="left" vertical="top" wrapText="1"/>
    </xf>
    <xf numFmtId="3" fontId="18" fillId="0" borderId="1" xfId="0" applyNumberFormat="1" applyFont="1" applyBorder="1" applyAlignment="1">
      <alignment horizontal="center" vertical="top" wrapText="1"/>
    </xf>
    <xf numFmtId="39" fontId="0" fillId="4" borderId="1" xfId="1" applyNumberFormat="1" applyFont="1" applyFill="1" applyBorder="1"/>
    <xf numFmtId="0" fontId="24" fillId="0" borderId="2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4" fontId="0" fillId="4" borderId="5" xfId="0" applyNumberFormat="1" applyFill="1" applyBorder="1"/>
    <xf numFmtId="0" fontId="45" fillId="0" borderId="19" xfId="3" applyFont="1" applyBorder="1" applyAlignment="1">
      <alignment horizontal="center"/>
    </xf>
    <xf numFmtId="0" fontId="2" fillId="29" borderId="1" xfId="0" applyFont="1" applyFill="1" applyBorder="1"/>
    <xf numFmtId="0" fontId="23" fillId="29" borderId="3" xfId="0" applyFont="1" applyFill="1" applyBorder="1"/>
    <xf numFmtId="0" fontId="23" fillId="29" borderId="7" xfId="0" applyFont="1" applyFill="1" applyBorder="1"/>
    <xf numFmtId="0" fontId="23" fillId="29" borderId="2" xfId="0" applyFont="1" applyFill="1" applyBorder="1" applyAlignment="1">
      <alignment horizontal="left"/>
    </xf>
    <xf numFmtId="0" fontId="20" fillId="17" borderId="3" xfId="0" applyFont="1" applyFill="1" applyBorder="1" applyAlignment="1">
      <alignment horizontal="left" vertical="top" wrapText="1"/>
    </xf>
    <xf numFmtId="4" fontId="2" fillId="10" borderId="1" xfId="0" applyNumberFormat="1" applyFont="1" applyFill="1" applyBorder="1" applyAlignment="1">
      <alignment vertical="top"/>
    </xf>
    <xf numFmtId="39" fontId="0" fillId="0" borderId="0" xfId="0" applyNumberFormat="1"/>
    <xf numFmtId="0" fontId="18" fillId="18" borderId="3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168" fontId="45" fillId="0" borderId="19" xfId="3" applyNumberFormat="1" applyFont="1" applyBorder="1" applyAlignment="1">
      <alignment horizontal="right" vertical="center"/>
    </xf>
    <xf numFmtId="168" fontId="49" fillId="7" borderId="19" xfId="5" applyNumberFormat="1" applyFont="1" applyFill="1" applyBorder="1" applyAlignment="1">
      <alignment horizontal="right"/>
    </xf>
    <xf numFmtId="168" fontId="44" fillId="0" borderId="0" xfId="3" applyNumberFormat="1"/>
    <xf numFmtId="168" fontId="49" fillId="25" borderId="19" xfId="3" applyNumberFormat="1" applyFont="1" applyFill="1" applyBorder="1" applyAlignment="1">
      <alignment horizontal="right"/>
    </xf>
    <xf numFmtId="168" fontId="51" fillId="0" borderId="34" xfId="3" applyNumberFormat="1" applyFont="1" applyBorder="1" applyAlignment="1">
      <alignment horizontal="right" vertical="center"/>
    </xf>
    <xf numFmtId="168" fontId="49" fillId="0" borderId="36" xfId="3" applyNumberFormat="1" applyFont="1" applyBorder="1" applyAlignment="1">
      <alignment horizontal="right" vertical="center"/>
    </xf>
    <xf numFmtId="168" fontId="49" fillId="10" borderId="19" xfId="3" applyNumberFormat="1" applyFont="1" applyFill="1" applyBorder="1" applyAlignment="1">
      <alignment horizontal="right"/>
    </xf>
    <xf numFmtId="168" fontId="45" fillId="0" borderId="18" xfId="3" applyNumberFormat="1" applyFont="1" applyBorder="1" applyAlignment="1">
      <alignment horizontal="right" vertical="center"/>
    </xf>
    <xf numFmtId="0" fontId="27" fillId="28" borderId="2" xfId="0" applyFont="1" applyFill="1" applyBorder="1" applyAlignment="1">
      <alignment vertical="center"/>
    </xf>
    <xf numFmtId="0" fontId="27" fillId="28" borderId="7" xfId="0" applyFont="1" applyFill="1" applyBorder="1" applyAlignment="1">
      <alignment vertical="center"/>
    </xf>
    <xf numFmtId="39" fontId="2" fillId="9" borderId="1" xfId="0" applyNumberFormat="1" applyFont="1" applyFill="1" applyBorder="1" applyAlignment="1">
      <alignment vertical="top"/>
    </xf>
    <xf numFmtId="0" fontId="0" fillId="4" borderId="0" xfId="0" applyFill="1"/>
    <xf numFmtId="4" fontId="18" fillId="4" borderId="1" xfId="0" applyNumberFormat="1" applyFont="1" applyFill="1" applyBorder="1" applyAlignment="1">
      <alignment horizontal="right" vertical="top" wrapText="1"/>
    </xf>
    <xf numFmtId="0" fontId="59" fillId="0" borderId="0" xfId="0" applyFont="1"/>
    <xf numFmtId="39" fontId="0" fillId="0" borderId="0" xfId="1" applyNumberFormat="1" applyFont="1"/>
    <xf numFmtId="0" fontId="15" fillId="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top" wrapText="1"/>
    </xf>
    <xf numFmtId="4" fontId="21" fillId="0" borderId="3" xfId="0" applyNumberFormat="1" applyFont="1" applyBorder="1" applyAlignment="1">
      <alignment horizontal="right" vertical="top" wrapText="1"/>
    </xf>
    <xf numFmtId="4" fontId="21" fillId="0" borderId="7" xfId="0" applyNumberFormat="1" applyFont="1" applyBorder="1" applyAlignment="1">
      <alignment horizontal="right" vertical="top" wrapText="1"/>
    </xf>
    <xf numFmtId="4" fontId="13" fillId="0" borderId="1" xfId="0" applyNumberFormat="1" applyFont="1" applyBorder="1" applyAlignment="1">
      <alignment horizontal="right" vertical="top"/>
    </xf>
    <xf numFmtId="0" fontId="24" fillId="0" borderId="13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 wrapText="1"/>
    </xf>
    <xf numFmtId="0" fontId="24" fillId="0" borderId="12" xfId="0" applyFont="1" applyBorder="1" applyAlignment="1">
      <alignment horizontal="center" vertical="top" wrapText="1"/>
    </xf>
    <xf numFmtId="0" fontId="24" fillId="0" borderId="14" xfId="0" applyFont="1" applyBorder="1" applyAlignment="1">
      <alignment horizontal="center" vertical="top" wrapText="1"/>
    </xf>
    <xf numFmtId="0" fontId="24" fillId="0" borderId="9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4" fontId="21" fillId="0" borderId="1" xfId="0" applyNumberFormat="1" applyFont="1" applyBorder="1" applyAlignment="1">
      <alignment horizontal="right" vertical="top" wrapText="1"/>
    </xf>
    <xf numFmtId="4" fontId="25" fillId="4" borderId="1" xfId="0" applyNumberFormat="1" applyFont="1" applyFill="1" applyBorder="1" applyAlignment="1">
      <alignment horizontal="right" vertical="top" wrapText="1"/>
    </xf>
    <xf numFmtId="4" fontId="21" fillId="0" borderId="2" xfId="0" applyNumberFormat="1" applyFont="1" applyBorder="1" applyAlignment="1">
      <alignment horizontal="right" vertical="top" wrapText="1"/>
    </xf>
    <xf numFmtId="0" fontId="45" fillId="25" borderId="16" xfId="3" applyFont="1" applyFill="1" applyBorder="1" applyAlignment="1">
      <alignment horizontal="right"/>
    </xf>
    <xf numFmtId="0" fontId="45" fillId="25" borderId="17" xfId="3" applyFont="1" applyFill="1" applyBorder="1" applyAlignment="1">
      <alignment horizontal="right"/>
    </xf>
    <xf numFmtId="0" fontId="45" fillId="25" borderId="18" xfId="3" applyFont="1" applyFill="1" applyBorder="1" applyAlignment="1">
      <alignment horizontal="right"/>
    </xf>
    <xf numFmtId="0" fontId="52" fillId="26" borderId="26" xfId="0" applyFont="1" applyFill="1" applyBorder="1" applyAlignment="1">
      <alignment horizontal="center" vertical="center"/>
    </xf>
    <xf numFmtId="0" fontId="52" fillId="26" borderId="27" xfId="0" applyFont="1" applyFill="1" applyBorder="1" applyAlignment="1">
      <alignment horizontal="center" vertical="center"/>
    </xf>
    <xf numFmtId="0" fontId="52" fillId="26" borderId="28" xfId="0" applyFont="1" applyFill="1" applyBorder="1" applyAlignment="1">
      <alignment horizontal="center" vertical="center"/>
    </xf>
    <xf numFmtId="0" fontId="49" fillId="0" borderId="9" xfId="3" applyFont="1" applyBorder="1" applyAlignment="1">
      <alignment horizontal="center"/>
    </xf>
    <xf numFmtId="0" fontId="49" fillId="0" borderId="10" xfId="3" applyFont="1" applyBorder="1" applyAlignment="1">
      <alignment horizontal="center"/>
    </xf>
    <xf numFmtId="0" fontId="49" fillId="0" borderId="11" xfId="3" applyFont="1" applyBorder="1" applyAlignment="1">
      <alignment horizontal="center"/>
    </xf>
    <xf numFmtId="0" fontId="54" fillId="0" borderId="13" xfId="3" applyFont="1" applyBorder="1" applyAlignment="1">
      <alignment horizontal="center" vertical="center"/>
    </xf>
    <xf numFmtId="0" fontId="54" fillId="0" borderId="6" xfId="3" applyFont="1" applyBorder="1" applyAlignment="1">
      <alignment horizontal="center" vertical="center"/>
    </xf>
    <xf numFmtId="0" fontId="54" fillId="0" borderId="4" xfId="3" applyFont="1" applyBorder="1" applyAlignment="1">
      <alignment horizontal="center" vertical="center"/>
    </xf>
    <xf numFmtId="0" fontId="55" fillId="0" borderId="12" xfId="3" applyFont="1" applyBorder="1" applyAlignment="1">
      <alignment horizontal="center" vertical="center"/>
    </xf>
    <xf numFmtId="0" fontId="55" fillId="0" borderId="0" xfId="3" applyFont="1" applyAlignment="1">
      <alignment horizontal="center" vertical="center"/>
    </xf>
    <xf numFmtId="0" fontId="55" fillId="0" borderId="14" xfId="3" applyFont="1" applyBorder="1" applyAlignment="1">
      <alignment horizontal="center" vertical="center"/>
    </xf>
    <xf numFmtId="17" fontId="55" fillId="0" borderId="24" xfId="3" applyNumberFormat="1" applyFont="1" applyBorder="1" applyAlignment="1">
      <alignment horizontal="right"/>
    </xf>
    <xf numFmtId="0" fontId="55" fillId="0" borderId="21" xfId="3" applyFont="1" applyBorder="1" applyAlignment="1">
      <alignment horizontal="right"/>
    </xf>
    <xf numFmtId="0" fontId="55" fillId="0" borderId="29" xfId="3" applyFont="1" applyBorder="1" applyAlignment="1">
      <alignment horizontal="right"/>
    </xf>
    <xf numFmtId="0" fontId="49" fillId="7" borderId="16" xfId="3" applyFont="1" applyFill="1" applyBorder="1" applyAlignment="1">
      <alignment horizontal="right"/>
    </xf>
    <xf numFmtId="0" fontId="49" fillId="7" borderId="17" xfId="3" applyFont="1" applyFill="1" applyBorder="1" applyAlignment="1">
      <alignment horizontal="right"/>
    </xf>
    <xf numFmtId="0" fontId="49" fillId="7" borderId="18" xfId="3" applyFont="1" applyFill="1" applyBorder="1" applyAlignment="1">
      <alignment horizontal="right"/>
    </xf>
    <xf numFmtId="0" fontId="47" fillId="0" borderId="30" xfId="3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/>
    </xf>
    <xf numFmtId="0" fontId="47" fillId="0" borderId="32" xfId="3" applyFont="1" applyBorder="1" applyAlignment="1">
      <alignment horizontal="center" vertical="center"/>
    </xf>
    <xf numFmtId="0" fontId="55" fillId="10" borderId="16" xfId="3" applyFont="1" applyFill="1" applyBorder="1" applyAlignment="1">
      <alignment horizontal="center" vertical="center"/>
    </xf>
    <xf numFmtId="0" fontId="53" fillId="10" borderId="17" xfId="3" applyFont="1" applyFill="1" applyBorder="1" applyAlignment="1">
      <alignment horizontal="center" vertical="center"/>
    </xf>
    <xf numFmtId="0" fontId="53" fillId="10" borderId="18" xfId="3" applyFont="1" applyFill="1" applyBorder="1" applyAlignment="1">
      <alignment horizontal="center" vertical="center"/>
    </xf>
    <xf numFmtId="0" fontId="49" fillId="10" borderId="16" xfId="3" applyFont="1" applyFill="1" applyBorder="1" applyAlignment="1">
      <alignment horizontal="right"/>
    </xf>
    <xf numFmtId="0" fontId="49" fillId="10" borderId="17" xfId="3" applyFont="1" applyFill="1" applyBorder="1" applyAlignment="1">
      <alignment horizontal="right"/>
    </xf>
    <xf numFmtId="0" fontId="49" fillId="10" borderId="18" xfId="3" applyFont="1" applyFill="1" applyBorder="1" applyAlignment="1">
      <alignment horizontal="right"/>
    </xf>
    <xf numFmtId="0" fontId="55" fillId="7" borderId="16" xfId="3" applyFont="1" applyFill="1" applyBorder="1" applyAlignment="1">
      <alignment horizontal="center" vertical="center"/>
    </xf>
    <xf numFmtId="0" fontId="55" fillId="7" borderId="17" xfId="3" applyFont="1" applyFill="1" applyBorder="1" applyAlignment="1">
      <alignment horizontal="center" vertical="center"/>
    </xf>
    <xf numFmtId="0" fontId="55" fillId="7" borderId="18" xfId="3" applyFont="1" applyFill="1" applyBorder="1" applyAlignment="1">
      <alignment horizontal="center" vertical="center"/>
    </xf>
    <xf numFmtId="0" fontId="23" fillId="2" borderId="2" xfId="0" applyFont="1" applyFill="1" applyBorder="1"/>
    <xf numFmtId="0" fontId="23" fillId="2" borderId="7" xfId="0" applyFont="1" applyFill="1" applyBorder="1"/>
    <xf numFmtId="0" fontId="30" fillId="8" borderId="1" xfId="0" applyFont="1" applyFill="1" applyBorder="1" applyAlignment="1">
      <alignment horizontal="center" vertical="center"/>
    </xf>
    <xf numFmtId="0" fontId="27" fillId="28" borderId="1" xfId="0" applyFont="1" applyFill="1" applyBorder="1" applyAlignment="1">
      <alignment vertical="center"/>
    </xf>
    <xf numFmtId="0" fontId="27" fillId="28" borderId="1" xfId="0" applyFont="1" applyFill="1" applyBorder="1" applyAlignment="1">
      <alignment horizontal="left" vertical="center"/>
    </xf>
    <xf numFmtId="0" fontId="27" fillId="22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33" fillId="28" borderId="2" xfId="0" applyFont="1" applyFill="1" applyBorder="1" applyAlignment="1">
      <alignment horizontal="center" vertical="center"/>
    </xf>
    <xf numFmtId="0" fontId="33" fillId="28" borderId="7" xfId="0" applyFont="1" applyFill="1" applyBorder="1" applyAlignment="1">
      <alignment horizontal="center" vertical="center"/>
    </xf>
    <xf numFmtId="0" fontId="27" fillId="28" borderId="2" xfId="0" applyFont="1" applyFill="1" applyBorder="1" applyAlignment="1">
      <alignment horizontal="left" vertical="center"/>
    </xf>
    <xf numFmtId="0" fontId="27" fillId="28" borderId="7" xfId="0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left" vertical="center"/>
    </xf>
    <xf numFmtId="0" fontId="27" fillId="5" borderId="7" xfId="0" applyFont="1" applyFill="1" applyBorder="1" applyAlignment="1">
      <alignment horizontal="left" vertical="center"/>
    </xf>
    <xf numFmtId="0" fontId="27" fillId="10" borderId="2" xfId="0" applyFont="1" applyFill="1" applyBorder="1" applyAlignment="1">
      <alignment horizontal="left" vertical="center"/>
    </xf>
    <xf numFmtId="0" fontId="27" fillId="10" borderId="7" xfId="0" applyFont="1" applyFill="1" applyBorder="1" applyAlignment="1">
      <alignment horizontal="left" vertical="center"/>
    </xf>
    <xf numFmtId="0" fontId="30" fillId="19" borderId="6" xfId="0" applyFont="1" applyFill="1" applyBorder="1" applyAlignment="1">
      <alignment horizontal="center" vertical="center"/>
    </xf>
    <xf numFmtId="0" fontId="30" fillId="19" borderId="4" xfId="0" applyFont="1" applyFill="1" applyBorder="1" applyAlignment="1">
      <alignment horizontal="center" vertical="center"/>
    </xf>
    <xf numFmtId="0" fontId="30" fillId="19" borderId="10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center"/>
    </xf>
    <xf numFmtId="0" fontId="24" fillId="12" borderId="3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12" borderId="2" xfId="0" applyFont="1" applyFill="1" applyBorder="1" applyAlignment="1">
      <alignment horizontal="center" vertical="center"/>
    </xf>
    <xf numFmtId="0" fontId="24" fillId="12" borderId="3" xfId="0" applyFont="1" applyFill="1" applyBorder="1" applyAlignment="1">
      <alignment horizontal="center" vertical="center"/>
    </xf>
    <xf numFmtId="0" fontId="24" fillId="12" borderId="7" xfId="0" applyFont="1" applyFill="1" applyBorder="1" applyAlignment="1">
      <alignment horizontal="center" vertical="center"/>
    </xf>
    <xf numFmtId="0" fontId="30" fillId="19" borderId="8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 wrapText="1"/>
    </xf>
    <xf numFmtId="0" fontId="30" fillId="19" borderId="3" xfId="0" applyFont="1" applyFill="1" applyBorder="1" applyAlignment="1">
      <alignment horizontal="center" vertical="center" wrapText="1"/>
    </xf>
    <xf numFmtId="0" fontId="30" fillId="19" borderId="7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27" fillId="0" borderId="1" xfId="0" applyFont="1" applyBorder="1"/>
    <xf numFmtId="0" fontId="29" fillId="0" borderId="5" xfId="2" applyBorder="1"/>
    <xf numFmtId="0" fontId="27" fillId="0" borderId="5" xfId="0" applyFont="1" applyBorder="1"/>
    <xf numFmtId="0" fontId="27" fillId="0" borderId="2" xfId="0" applyFont="1" applyBorder="1" applyAlignment="1">
      <alignment horizontal="left"/>
    </xf>
    <xf numFmtId="0" fontId="27" fillId="0" borderId="3" xfId="0" applyFont="1" applyBorder="1" applyAlignment="1">
      <alignment horizontal="left"/>
    </xf>
    <xf numFmtId="0" fontId="27" fillId="0" borderId="7" xfId="0" applyFont="1" applyBorder="1" applyAlignment="1">
      <alignment horizontal="left"/>
    </xf>
    <xf numFmtId="0" fontId="27" fillId="0" borderId="1" xfId="0" applyFont="1" applyBorder="1" applyAlignment="1">
      <alignment wrapText="1"/>
    </xf>
    <xf numFmtId="0" fontId="28" fillId="0" borderId="1" xfId="0" applyFont="1" applyBorder="1"/>
    <xf numFmtId="0" fontId="30" fillId="8" borderId="2" xfId="0" applyFont="1" applyFill="1" applyBorder="1" applyAlignment="1">
      <alignment horizontal="center" vertical="center"/>
    </xf>
    <xf numFmtId="0" fontId="30" fillId="8" borderId="7" xfId="0" applyFont="1" applyFill="1" applyBorder="1" applyAlignment="1">
      <alignment horizontal="center" vertical="center"/>
    </xf>
    <xf numFmtId="4" fontId="21" fillId="4" borderId="2" xfId="0" applyNumberFormat="1" applyFont="1" applyFill="1" applyBorder="1" applyAlignment="1">
      <alignment horizontal="right" vertical="top"/>
    </xf>
    <xf numFmtId="4" fontId="18" fillId="4" borderId="7" xfId="0" applyNumberFormat="1" applyFont="1" applyFill="1" applyBorder="1" applyAlignment="1">
      <alignment horizontal="right" vertical="top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4" fontId="21" fillId="0" borderId="2" xfId="0" applyNumberFormat="1" applyFont="1" applyBorder="1" applyAlignment="1">
      <alignment horizontal="right" vertical="top"/>
    </xf>
    <xf numFmtId="4" fontId="21" fillId="0" borderId="7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center" vertical="top" wrapText="1"/>
    </xf>
    <xf numFmtId="0" fontId="22" fillId="0" borderId="7" xfId="0" applyFont="1" applyBorder="1" applyAlignment="1">
      <alignment horizontal="center" vertical="top" wrapText="1"/>
    </xf>
    <xf numFmtId="0" fontId="27" fillId="0" borderId="7" xfId="0" applyFont="1" applyBorder="1"/>
    <xf numFmtId="0" fontId="0" fillId="0" borderId="0" xfId="0"/>
    <xf numFmtId="0" fontId="27" fillId="0" borderId="10" xfId="0" applyFont="1" applyBorder="1" applyAlignment="1">
      <alignment horizontal="left"/>
    </xf>
    <xf numFmtId="0" fontId="27" fillId="0" borderId="11" xfId="0" applyFont="1" applyBorder="1" applyAlignment="1">
      <alignment horizontal="left"/>
    </xf>
    <xf numFmtId="0" fontId="28" fillId="4" borderId="1" xfId="0" applyFont="1" applyFill="1" applyBorder="1" applyAlignment="1">
      <alignment horizontal="left"/>
    </xf>
    <xf numFmtId="0" fontId="56" fillId="0" borderId="0" xfId="0" applyFont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29" fillId="0" borderId="0" xfId="2"/>
    <xf numFmtId="0" fontId="33" fillId="2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right"/>
    </xf>
    <xf numFmtId="0" fontId="23" fillId="2" borderId="5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right"/>
    </xf>
    <xf numFmtId="0" fontId="2" fillId="29" borderId="3" xfId="0" applyFont="1" applyFill="1" applyBorder="1" applyAlignment="1">
      <alignment horizontal="right"/>
    </xf>
    <xf numFmtId="0" fontId="2" fillId="29" borderId="7" xfId="0" applyFont="1" applyFill="1" applyBorder="1" applyAlignment="1">
      <alignment horizontal="right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3" fillId="29" borderId="2" xfId="0" applyFont="1" applyFill="1" applyBorder="1" applyAlignment="1">
      <alignment horizontal="right"/>
    </xf>
    <xf numFmtId="0" fontId="23" fillId="29" borderId="3" xfId="0" applyFont="1" applyFill="1" applyBorder="1" applyAlignment="1">
      <alignment horizontal="right"/>
    </xf>
    <xf numFmtId="0" fontId="23" fillId="29" borderId="7" xfId="0" applyFont="1" applyFill="1" applyBorder="1" applyAlignment="1">
      <alignment horizontal="right"/>
    </xf>
    <xf numFmtId="0" fontId="33" fillId="2" borderId="6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0" fontId="36" fillId="12" borderId="1" xfId="0" applyFont="1" applyFill="1" applyBorder="1" applyAlignment="1">
      <alignment horizontal="center" vertical="top"/>
    </xf>
    <xf numFmtId="0" fontId="37" fillId="12" borderId="1" xfId="0" applyFont="1" applyFill="1" applyBorder="1" applyAlignment="1">
      <alignment horizontal="center" vertical="top"/>
    </xf>
    <xf numFmtId="0" fontId="38" fillId="13" borderId="1" xfId="0" applyFont="1" applyFill="1" applyBorder="1" applyAlignment="1">
      <alignment horizontal="center" vertical="top" wrapText="1"/>
    </xf>
    <xf numFmtId="2" fontId="21" fillId="4" borderId="1" xfId="0" applyNumberFormat="1" applyFont="1" applyFill="1" applyBorder="1" applyAlignment="1">
      <alignment horizontal="right" vertical="top" wrapText="1"/>
    </xf>
    <xf numFmtId="2" fontId="26" fillId="0" borderId="1" xfId="0" applyNumberFormat="1" applyFont="1" applyBorder="1" applyAlignment="1">
      <alignment horizontal="right" vertical="top"/>
    </xf>
    <xf numFmtId="2" fontId="13" fillId="0" borderId="1" xfId="0" applyNumberFormat="1" applyFont="1" applyBorder="1" applyAlignment="1">
      <alignment horizontal="right" vertical="top"/>
    </xf>
    <xf numFmtId="2" fontId="23" fillId="0" borderId="3" xfId="0" applyNumberFormat="1" applyFont="1" applyBorder="1" applyAlignment="1">
      <alignment horizontal="right" vertical="top" wrapText="1"/>
    </xf>
    <xf numFmtId="2" fontId="23" fillId="0" borderId="7" xfId="0" applyNumberFormat="1" applyFont="1" applyBorder="1" applyAlignment="1">
      <alignment horizontal="right" vertical="top" wrapText="1"/>
    </xf>
    <xf numFmtId="2" fontId="21" fillId="0" borderId="2" xfId="0" applyNumberFormat="1" applyFont="1" applyBorder="1" applyAlignment="1">
      <alignment horizontal="right" vertical="top" wrapText="1"/>
    </xf>
    <xf numFmtId="2" fontId="21" fillId="0" borderId="7" xfId="0" applyNumberFormat="1" applyFont="1" applyBorder="1" applyAlignment="1">
      <alignment horizontal="right" vertical="top" wrapText="1"/>
    </xf>
    <xf numFmtId="2" fontId="21" fillId="0" borderId="2" xfId="0" applyNumberFormat="1" applyFont="1" applyBorder="1" applyAlignment="1">
      <alignment horizontal="right" vertical="top"/>
    </xf>
    <xf numFmtId="2" fontId="21" fillId="0" borderId="7" xfId="0" applyNumberFormat="1" applyFont="1" applyBorder="1" applyAlignment="1">
      <alignment horizontal="right" vertical="top"/>
    </xf>
    <xf numFmtId="2" fontId="25" fillId="4" borderId="2" xfId="0" applyNumberFormat="1" applyFont="1" applyFill="1" applyBorder="1" applyAlignment="1">
      <alignment horizontal="center" vertical="top" wrapText="1"/>
    </xf>
    <xf numFmtId="2" fontId="25" fillId="4" borderId="3" xfId="0" applyNumberFormat="1" applyFont="1" applyFill="1" applyBorder="1" applyAlignment="1">
      <alignment horizontal="center" vertical="top" wrapText="1"/>
    </xf>
    <xf numFmtId="2" fontId="25" fillId="4" borderId="7" xfId="0" applyNumberFormat="1" applyFont="1" applyFill="1" applyBorder="1" applyAlignment="1">
      <alignment horizontal="center" vertical="top" wrapText="1"/>
    </xf>
    <xf numFmtId="2" fontId="25" fillId="4" borderId="1" xfId="0" applyNumberFormat="1" applyFont="1" applyFill="1" applyBorder="1" applyAlignment="1">
      <alignment horizontal="center" vertical="top" wrapText="1"/>
    </xf>
  </cellXfs>
  <cellStyles count="6">
    <cellStyle name="Comma 2" xfId="4" xr:uid="{94F284C9-331C-4621-BD87-49B2B74ABEF1}"/>
    <cellStyle name="Currency" xfId="1" builtinId="4"/>
    <cellStyle name="Currency 2" xfId="5" xr:uid="{DDB090BA-80DF-45AB-A81F-DC554335EB06}"/>
    <cellStyle name="Hyperlink" xfId="2" builtinId="8"/>
    <cellStyle name="Normal" xfId="0" builtinId="0"/>
    <cellStyle name="Normal 2" xfId="3" xr:uid="{B568759E-26CB-42E5-8D13-C51CFF99BB8A}"/>
  </cellStyles>
  <dxfs count="0"/>
  <tableStyles count="0" defaultTableStyle="TableStyleMedium2" defaultPivotStyle="PivotStyleLight16"/>
  <colors>
    <mruColors>
      <color rgb="FFA0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716BA5C7-2F92-4E1B-A8F6-51D127EE399B}">
    <Anchor>
      <Comment id="{C5B71F4F-8D87-4030-AE41-F0284B8309D9}"/>
    </Anchor>
    <History>
      <Event time="2025-09-10T16:34:45.93" id="{D78DFE37-AA5C-4CF4-B5BC-316FBC74D1F5}">
        <Attribution userId="S::Roger@e-techsystemsja.com::d71dc037-267f-4095-ad26-aed1649f3e4e" userName="Rodrick  Williams" userProvider="AD"/>
        <Anchor>
          <Comment id="{C5B71F4F-8D87-4030-AE41-F0284B8309D9}"/>
        </Anchor>
        <Create/>
      </Event>
      <Event time="2025-09-10T16:34:45.93" id="{B873777E-8138-4767-BDEE-DBFE9D1231E9}">
        <Attribution userId="S::Roger@e-techsystemsja.com::d71dc037-267f-4095-ad26-aed1649f3e4e" userName="Rodrick  Williams" userProvider="AD"/>
        <Anchor>
          <Comment id="{C5B71F4F-8D87-4030-AE41-F0284B8309D9}"/>
        </Anchor>
        <Assign userId="S::Rochelle@e-techsystemsja.com::a2666542-328d-4232-92bd-8ecfc3e87508" userName="Rochelle Watkis" userProvider="AD"/>
      </Event>
      <Event time="2025-09-10T16:34:45.93" id="{4B608BB0-7A45-4D5F-820E-CBF85FD22BAA}">
        <Attribution userId="S::Roger@e-techsystemsja.com::d71dc037-267f-4095-ad26-aed1649f3e4e" userName="Rodrick  Williams" userProvider="AD"/>
        <Anchor>
          <Comment id="{C5B71F4F-8D87-4030-AE41-F0284B8309D9}"/>
        </Anchor>
        <SetTitle title="@Rochelle Watkis fill in the information"/>
      </Event>
      <Event time="2025-09-10T17:16:00.52" id="{976D03C8-BA7E-4B35-B981-43A28132DF27}">
        <Attribution userId="S::Rochelle@e-techsystemsja.com::a2666542-328d-4232-92bd-8ecfc3e87508" userName="Rochelle Watki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71967</xdr:rowOff>
    </xdr:from>
    <xdr:to>
      <xdr:col>1</xdr:col>
      <xdr:colOff>444713</xdr:colOff>
      <xdr:row>0</xdr:row>
      <xdr:rowOff>511387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CC624C-CCC6-4EE5-91DA-BE6F90CDF10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1" y="71967"/>
          <a:ext cx="1147445" cy="439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1217842</xdr:colOff>
      <xdr:row>43</xdr:row>
      <xdr:rowOff>93497</xdr:rowOff>
    </xdr:from>
    <xdr:to>
      <xdr:col>1</xdr:col>
      <xdr:colOff>2295525</xdr:colOff>
      <xdr:row>45</xdr:row>
      <xdr:rowOff>106531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63A510-0FDF-4C0E-90A1-B77411665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7442" y="15885947"/>
          <a:ext cx="1077683" cy="4130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1217842</xdr:colOff>
      <xdr:row>41</xdr:row>
      <xdr:rowOff>38102</xdr:rowOff>
    </xdr:from>
    <xdr:to>
      <xdr:col>1</xdr:col>
      <xdr:colOff>2295525</xdr:colOff>
      <xdr:row>43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F55AE8-65C6-4B10-9372-DF480B7F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5067" y="13268327"/>
          <a:ext cx="1077683" cy="5238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34</xdr:row>
      <xdr:rowOff>66674</xdr:rowOff>
    </xdr:from>
    <xdr:to>
      <xdr:col>1</xdr:col>
      <xdr:colOff>1809750</xdr:colOff>
      <xdr:row>36</xdr:row>
      <xdr:rowOff>149909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A347A-F83C-49F5-A04D-B9D15A24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7562849"/>
          <a:ext cx="1047750" cy="53091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chelle Watkis" id="{5A991A7D-D9BC-415F-B6A0-74504FEC1D9E}" userId="Rochelle@e-techsystemsja.com" providerId="PeoplePicker"/>
  <person displayName="Rodrick  Williams" id="{48135D37-39BB-45AF-85AD-3D096B171508}" userId="S::Roger@e-techsystemsja.com::d71dc037-267f-4095-ad26-aed1649f3e4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" dT="2025-09-10T16:34:45.93" personId="{48135D37-39BB-45AF-85AD-3D096B171508}" id="{C5B71F4F-8D87-4030-AE41-F0284B8309D9}" done="1">
    <text>@Rochelle Watkis fill in the information</text>
    <mentions>
      <mention mentionpersonId="{5A991A7D-D9BC-415F-B6A0-74504FEC1D9E}" mentionId="{76262397-F757-4CB9-A558-36E5200E1589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8DE0-8C22-4DC1-8370-5317A1F847E4}">
  <dimension ref="A1:E30"/>
  <sheetViews>
    <sheetView showWhiteSpace="0" view="pageLayout" topLeftCell="A19" zoomScaleNormal="100" workbookViewId="0">
      <selection activeCell="E32" sqref="E32"/>
    </sheetView>
  </sheetViews>
  <sheetFormatPr defaultColWidth="11.42578125" defaultRowHeight="12.75"/>
  <cols>
    <col min="1" max="1" width="10.7109375" style="143" customWidth="1"/>
    <col min="2" max="2" width="48" style="143" customWidth="1"/>
    <col min="3" max="3" width="9" style="143" bestFit="1" customWidth="1"/>
    <col min="4" max="4" width="18.42578125" style="143" bestFit="1" customWidth="1"/>
    <col min="5" max="5" width="21.7109375" style="144" customWidth="1"/>
    <col min="6" max="16384" width="11.42578125" style="143"/>
  </cols>
  <sheetData>
    <row r="1" spans="1:5" ht="47.25" customHeight="1" thickBot="1">
      <c r="A1" s="396" t="s">
        <v>96</v>
      </c>
      <c r="B1" s="397"/>
      <c r="C1" s="397"/>
      <c r="D1" s="397"/>
      <c r="E1" s="398"/>
    </row>
    <row r="2" spans="1:5" ht="22.5" customHeight="1">
      <c r="A2" s="399" t="s">
        <v>97</v>
      </c>
      <c r="B2" s="400"/>
      <c r="C2" s="400"/>
      <c r="D2" s="400"/>
      <c r="E2" s="401"/>
    </row>
    <row r="3" spans="1:5" ht="35.65" customHeight="1">
      <c r="A3" s="402" t="s">
        <v>182</v>
      </c>
      <c r="B3" s="403"/>
      <c r="C3" s="403"/>
      <c r="D3" s="403"/>
      <c r="E3" s="404"/>
    </row>
    <row r="4" spans="1:5" s="145" customFormat="1" ht="39" customHeight="1">
      <c r="A4" s="405" t="s">
        <v>242</v>
      </c>
      <c r="B4" s="406"/>
      <c r="C4" s="406"/>
      <c r="D4" s="406"/>
      <c r="E4" s="407"/>
    </row>
    <row r="5" spans="1:5" ht="26.25" customHeight="1" thickBot="1">
      <c r="A5" s="408">
        <v>46045</v>
      </c>
      <c r="B5" s="409"/>
      <c r="C5" s="409"/>
      <c r="D5" s="409"/>
      <c r="E5" s="410"/>
    </row>
    <row r="6" spans="1:5" ht="32.65" customHeight="1">
      <c r="A6" s="414" t="s">
        <v>93</v>
      </c>
      <c r="B6" s="415"/>
      <c r="C6" s="415"/>
      <c r="D6" s="415"/>
      <c r="E6" s="416"/>
    </row>
    <row r="7" spans="1:5" s="146" customFormat="1" ht="33.75" customHeight="1" thickBot="1">
      <c r="A7" s="156" t="s">
        <v>23</v>
      </c>
      <c r="B7" s="157" t="s">
        <v>94</v>
      </c>
      <c r="C7" s="158" t="s">
        <v>1</v>
      </c>
      <c r="D7" s="161" t="s">
        <v>241</v>
      </c>
      <c r="E7" s="161" t="s">
        <v>240</v>
      </c>
    </row>
    <row r="8" spans="1:5" s="146" customFormat="1" ht="41.25" customHeight="1" thickBot="1">
      <c r="A8" s="417" t="s">
        <v>105</v>
      </c>
      <c r="B8" s="418"/>
      <c r="C8" s="418"/>
      <c r="D8" s="418"/>
      <c r="E8" s="419"/>
    </row>
    <row r="9" spans="1:5" s="149" customFormat="1" ht="21.6" customHeight="1" thickBot="1">
      <c r="A9" s="147">
        <v>100</v>
      </c>
      <c r="B9" s="148" t="str">
        <f>'VSS BoM'!B4</f>
        <v>Video Management System Software</v>
      </c>
      <c r="C9" s="147">
        <v>1</v>
      </c>
      <c r="D9" s="362">
        <f>'VSS BoM'!E9</f>
        <v>440915.65200000006</v>
      </c>
      <c r="E9" s="362">
        <f>D9*C9</f>
        <v>440915.65200000006</v>
      </c>
    </row>
    <row r="10" spans="1:5" s="149" customFormat="1" ht="21.6" customHeight="1" thickBot="1">
      <c r="A10" s="147">
        <v>200</v>
      </c>
      <c r="B10" s="148" t="str">
        <f>'VSS BoM'!B10</f>
        <v xml:space="preserve">Compute and Storage </v>
      </c>
      <c r="C10" s="147">
        <v>1</v>
      </c>
      <c r="D10" s="362">
        <f>'VSS BoM'!E12</f>
        <v>1418442.3</v>
      </c>
      <c r="E10" s="362">
        <f t="shared" ref="E10:E17" si="0">D10*C10</f>
        <v>1418442.3</v>
      </c>
    </row>
    <row r="11" spans="1:5" s="149" customFormat="1" ht="21.6" customHeight="1" thickBot="1">
      <c r="A11" s="147">
        <v>300</v>
      </c>
      <c r="B11" s="148" t="str">
        <f>'VSS BoM'!B13</f>
        <v>Control Room</v>
      </c>
      <c r="C11" s="147">
        <v>1</v>
      </c>
      <c r="D11" s="362">
        <f>'VSS BoM'!E16</f>
        <v>960606.27</v>
      </c>
      <c r="E11" s="362">
        <f t="shared" si="0"/>
        <v>960606.27</v>
      </c>
    </row>
    <row r="12" spans="1:5" s="149" customFormat="1" ht="21.6" customHeight="1" thickBot="1">
      <c r="A12" s="147">
        <v>400</v>
      </c>
      <c r="B12" s="148" t="str">
        <f>'VSS BoM'!B17</f>
        <v>Video Security Equipment</v>
      </c>
      <c r="C12" s="147">
        <v>1</v>
      </c>
      <c r="D12" s="362">
        <f>'VSS BoM'!E21</f>
        <v>1785999.15</v>
      </c>
      <c r="E12" s="362">
        <f t="shared" si="0"/>
        <v>1785999.15</v>
      </c>
    </row>
    <row r="13" spans="1:5" s="149" customFormat="1" ht="21.6" customHeight="1" thickBot="1">
      <c r="A13" s="147">
        <v>500</v>
      </c>
      <c r="B13" s="148" t="str">
        <f>'VSS BoM'!B22</f>
        <v xml:space="preserve">Network </v>
      </c>
      <c r="C13" s="147">
        <v>1</v>
      </c>
      <c r="D13" s="362">
        <f>'VSS BoM'!E25</f>
        <v>353767.05</v>
      </c>
      <c r="E13" s="362">
        <f t="shared" si="0"/>
        <v>353767.05</v>
      </c>
    </row>
    <row r="14" spans="1:5" s="149" customFormat="1" ht="21.6" customHeight="1" thickBot="1">
      <c r="A14" s="147">
        <v>600</v>
      </c>
      <c r="B14" s="148" t="str">
        <f>'VSS BoM'!B26</f>
        <v xml:space="preserve">Network Infrastructure </v>
      </c>
      <c r="C14" s="147">
        <v>1</v>
      </c>
      <c r="D14" s="362">
        <f>'VSS BoM'!E31</f>
        <v>632521.5</v>
      </c>
      <c r="E14" s="362">
        <f t="shared" si="0"/>
        <v>632521.5</v>
      </c>
    </row>
    <row r="15" spans="1:5" s="149" customFormat="1" ht="21.6" customHeight="1" thickBot="1">
      <c r="A15" s="147">
        <v>700</v>
      </c>
      <c r="B15" s="148" t="str">
        <f>'VSS BoM'!B32</f>
        <v xml:space="preserve">Professional Services </v>
      </c>
      <c r="C15" s="147">
        <v>1</v>
      </c>
      <c r="D15" s="362">
        <f>'VSS BoM'!E36</f>
        <v>926228.57977499999</v>
      </c>
      <c r="E15" s="362">
        <f t="shared" si="0"/>
        <v>926228.57977499999</v>
      </c>
    </row>
    <row r="16" spans="1:5" s="149" customFormat="1" ht="21.6" customHeight="1" thickBot="1">
      <c r="A16" s="147">
        <f>'VSS BoM'!A37</f>
        <v>700.5</v>
      </c>
      <c r="B16" s="148" t="str">
        <f>'VSS BoM'!B37</f>
        <v>Contingency plan</v>
      </c>
      <c r="C16" s="147">
        <v>0</v>
      </c>
      <c r="D16" s="362">
        <f>'VSS BoM'!C37</f>
        <v>591649.29767750006</v>
      </c>
      <c r="E16" s="362">
        <f t="shared" si="0"/>
        <v>0</v>
      </c>
    </row>
    <row r="17" spans="1:5" s="149" customFormat="1" ht="21.6" customHeight="1" thickBot="1">
      <c r="A17" s="147">
        <v>800</v>
      </c>
      <c r="B17" s="148" t="str">
        <f>'VSS BoM'!B39</f>
        <v>Importation</v>
      </c>
      <c r="C17" s="147">
        <v>1</v>
      </c>
      <c r="D17" s="362">
        <f>'VSS BoM'!E42</f>
        <v>2161897.6880000001</v>
      </c>
      <c r="E17" s="362">
        <f t="shared" si="0"/>
        <v>2161897.6880000001</v>
      </c>
    </row>
    <row r="18" spans="1:5" s="149" customFormat="1" ht="26.65" customHeight="1" thickBot="1">
      <c r="A18" s="420" t="s">
        <v>98</v>
      </c>
      <c r="B18" s="421"/>
      <c r="C18" s="421"/>
      <c r="D18" s="422"/>
      <c r="E18" s="368">
        <f>SUM(E9:E17)</f>
        <v>8680378.1897749994</v>
      </c>
    </row>
    <row r="19" spans="1:5" s="146" customFormat="1" ht="42.75" customHeight="1" thickBot="1">
      <c r="A19" s="423" t="s">
        <v>99</v>
      </c>
      <c r="B19" s="424"/>
      <c r="C19" s="424"/>
      <c r="D19" s="424"/>
      <c r="E19" s="425"/>
    </row>
    <row r="20" spans="1:5" s="149" customFormat="1" ht="21.6" customHeight="1" thickBot="1">
      <c r="A20" s="352">
        <v>900</v>
      </c>
      <c r="B20" s="148" t="str">
        <f>'EAC BoM'!B4</f>
        <v>Access Control System Software</v>
      </c>
      <c r="C20" s="147">
        <v>1</v>
      </c>
      <c r="D20" s="362">
        <f>'EAC BoM'!E7</f>
        <v>232069.13099999999</v>
      </c>
      <c r="E20" s="362">
        <f>C20*D20</f>
        <v>232069.13099999999</v>
      </c>
    </row>
    <row r="21" spans="1:5" s="149" customFormat="1" ht="21.6" customHeight="1" thickBot="1">
      <c r="A21" s="352">
        <v>1000</v>
      </c>
      <c r="B21" s="152" t="str">
        <f>'EAC BoM'!B8</f>
        <v>Hardware</v>
      </c>
      <c r="C21" s="147">
        <v>1</v>
      </c>
      <c r="D21" s="362">
        <f>'EAC BoM'!E23</f>
        <v>2954611.3499999996</v>
      </c>
      <c r="E21" s="362">
        <f t="shared" ref="E21:E25" si="1">C21*D21</f>
        <v>2954611.3499999996</v>
      </c>
    </row>
    <row r="22" spans="1:5" s="149" customFormat="1" ht="21.6" customHeight="1" thickBot="1">
      <c r="A22" s="352">
        <v>1100</v>
      </c>
      <c r="B22" s="153" t="str">
        <f>'EAC BoM'!B24</f>
        <v xml:space="preserve">Infrastructure </v>
      </c>
      <c r="C22" s="147">
        <v>1</v>
      </c>
      <c r="D22" s="362">
        <f>'EAC BoM'!E29</f>
        <v>435699</v>
      </c>
      <c r="E22" s="362">
        <f t="shared" si="1"/>
        <v>435699</v>
      </c>
    </row>
    <row r="23" spans="1:5" s="149" customFormat="1" ht="21.6" customHeight="1" thickBot="1">
      <c r="A23" s="352">
        <v>1200</v>
      </c>
      <c r="B23" s="150" t="str">
        <f>'EAC BoM'!B30</f>
        <v xml:space="preserve">Professional Services </v>
      </c>
      <c r="C23" s="147">
        <v>1</v>
      </c>
      <c r="D23" s="369">
        <f>'EAC BoM'!E34</f>
        <v>743050.4695125001</v>
      </c>
      <c r="E23" s="362">
        <f t="shared" si="1"/>
        <v>743050.4695125001</v>
      </c>
    </row>
    <row r="24" spans="1:5" s="149" customFormat="1" ht="21.6" customHeight="1" thickBot="1">
      <c r="A24" s="352">
        <f>'EAC BoM'!A35</f>
        <v>1200.5</v>
      </c>
      <c r="B24" s="150" t="str">
        <f>'EAC BoM'!B35</f>
        <v>Contingency plan</v>
      </c>
      <c r="C24" s="147">
        <v>0</v>
      </c>
      <c r="D24" s="369">
        <f>'EAC BoM'!C35</f>
        <v>609454.00630125008</v>
      </c>
      <c r="E24" s="362">
        <f t="shared" si="1"/>
        <v>0</v>
      </c>
    </row>
    <row r="25" spans="1:5" s="149" customFormat="1" ht="21.6" customHeight="1" thickBot="1">
      <c r="A25" s="352">
        <v>1300</v>
      </c>
      <c r="B25" s="150" t="str">
        <f>'EAC BoM'!B37</f>
        <v>Importation</v>
      </c>
      <c r="C25" s="147">
        <v>1</v>
      </c>
      <c r="D25" s="369">
        <f>'EAC BoM'!E40</f>
        <v>1359009.24</v>
      </c>
      <c r="E25" s="362">
        <f t="shared" si="1"/>
        <v>1359009.24</v>
      </c>
    </row>
    <row r="26" spans="1:5" s="149" customFormat="1" ht="27.75" customHeight="1" thickBot="1">
      <c r="A26" s="411" t="s">
        <v>100</v>
      </c>
      <c r="B26" s="412"/>
      <c r="C26" s="412"/>
      <c r="D26" s="413"/>
      <c r="E26" s="363">
        <f>SUM(E20:E25)</f>
        <v>5724439.1905124998</v>
      </c>
    </row>
    <row r="27" spans="1:5" ht="7.5" customHeight="1" thickBot="1">
      <c r="E27" s="364"/>
    </row>
    <row r="28" spans="1:5" s="149" customFormat="1" ht="23.25" customHeight="1" thickBot="1">
      <c r="A28" s="393" t="s">
        <v>104</v>
      </c>
      <c r="B28" s="394"/>
      <c r="C28" s="394"/>
      <c r="D28" s="395"/>
      <c r="E28" s="365">
        <f>E26+E18</f>
        <v>14404817.380287498</v>
      </c>
    </row>
    <row r="29" spans="1:5" ht="18" customHeight="1">
      <c r="D29" s="159" t="s">
        <v>95</v>
      </c>
      <c r="E29" s="366">
        <f>E28*0.15</f>
        <v>2160722.6070431247</v>
      </c>
    </row>
    <row r="30" spans="1:5" ht="18.75" customHeight="1" thickBot="1">
      <c r="D30" s="160" t="s">
        <v>22</v>
      </c>
      <c r="E30" s="367">
        <f>SUM(E28:E29)</f>
        <v>16565539.987330623</v>
      </c>
    </row>
  </sheetData>
  <mergeCells count="11">
    <mergeCell ref="A28:D28"/>
    <mergeCell ref="A1:E1"/>
    <mergeCell ref="A2:E2"/>
    <mergeCell ref="A3:E3"/>
    <mergeCell ref="A4:E4"/>
    <mergeCell ref="A5:E5"/>
    <mergeCell ref="A26:D26"/>
    <mergeCell ref="A6:E6"/>
    <mergeCell ref="A8:E8"/>
    <mergeCell ref="A18:D18"/>
    <mergeCell ref="A19:E19"/>
  </mergeCells>
  <printOptions horizontalCentered="1"/>
  <pageMargins left="0.19685039370078741" right="0.19685039370078741" top="0.32250000000000001" bottom="0.86895833333333339" header="0.59055118110236227" footer="0.39370078740157483"/>
  <pageSetup scale="86" fitToHeight="0" orientation="portrait" r:id="rId1"/>
  <headerFooter alignWithMargins="0">
    <oddHeader xml:space="preserve">&amp;L                        
</oddHeader>
    <oddFooter xml:space="preserve">&amp;Rpage  &amp;P / &amp;N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10E8-96EE-42FB-9F6C-E81090390732}">
  <dimension ref="A1:W40"/>
  <sheetViews>
    <sheetView topLeftCell="B11" workbookViewId="0">
      <selection activeCell="D30" sqref="D30"/>
    </sheetView>
  </sheetViews>
  <sheetFormatPr defaultRowHeight="15"/>
  <cols>
    <col min="1" max="1" width="17.42578125" customWidth="1"/>
    <col min="2" max="2" width="26.7109375" customWidth="1"/>
    <col min="3" max="3" width="4.28515625" style="65" customWidth="1"/>
    <col min="4" max="4" width="3.85546875" style="65" customWidth="1"/>
    <col min="5" max="7" width="6.140625" style="65" customWidth="1"/>
    <col min="8" max="8" width="4.7109375" customWidth="1"/>
    <col min="9" max="9" width="5" customWidth="1"/>
    <col min="10" max="11" width="7.28515625" customWidth="1"/>
    <col min="12" max="12" width="4.85546875" customWidth="1"/>
    <col min="13" max="14" width="7.28515625" customWidth="1"/>
    <col min="15" max="16" width="7.140625" style="65" customWidth="1"/>
    <col min="17" max="17" width="8.140625" style="65" customWidth="1"/>
    <col min="18" max="18" width="5.7109375" customWidth="1"/>
    <col min="19" max="19" width="5.85546875" customWidth="1"/>
    <col min="20" max="20" width="5" customWidth="1"/>
    <col min="21" max="21" width="8.140625" customWidth="1"/>
    <col min="22" max="22" width="6.7109375" customWidth="1"/>
    <col min="23" max="23" width="43" customWidth="1"/>
  </cols>
  <sheetData>
    <row r="1" spans="1:23" ht="15.75">
      <c r="A1" s="47" t="s">
        <v>32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</row>
    <row r="2" spans="1:23" ht="15.75">
      <c r="A2" s="47" t="s">
        <v>33</v>
      </c>
      <c r="B2" s="457"/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</row>
    <row r="3" spans="1:23" ht="15.75">
      <c r="A3" s="47" t="s">
        <v>65</v>
      </c>
      <c r="B3" s="457"/>
      <c r="C3" s="457"/>
      <c r="D3" s="457"/>
      <c r="E3" s="457"/>
      <c r="F3" s="47"/>
      <c r="G3" s="47"/>
      <c r="H3" s="457"/>
      <c r="I3" s="457"/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7" t="s">
        <v>34</v>
      </c>
      <c r="W3" s="48"/>
    </row>
    <row r="4" spans="1:23" ht="15.75">
      <c r="A4" s="47" t="s">
        <v>35</v>
      </c>
      <c r="B4" s="464"/>
      <c r="C4" s="464"/>
      <c r="D4" s="464"/>
      <c r="E4" s="464"/>
      <c r="F4" s="48"/>
      <c r="G4" s="48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7" t="s">
        <v>36</v>
      </c>
      <c r="W4" s="49"/>
    </row>
    <row r="5" spans="1:23" ht="15.75">
      <c r="A5" s="47" t="s">
        <v>37</v>
      </c>
      <c r="B5" s="457"/>
      <c r="C5" s="457"/>
      <c r="D5" s="457"/>
      <c r="E5" s="457"/>
      <c r="F5" s="457"/>
      <c r="G5" s="457"/>
      <c r="H5" s="457"/>
      <c r="I5" s="457"/>
      <c r="J5" s="457"/>
      <c r="K5" s="457"/>
      <c r="L5" s="457"/>
      <c r="M5" s="457"/>
      <c r="N5" s="457"/>
      <c r="O5" s="457"/>
      <c r="P5" s="457"/>
      <c r="Q5" s="457"/>
      <c r="R5" s="457"/>
      <c r="S5" s="457"/>
      <c r="T5" s="457"/>
      <c r="U5" s="457"/>
      <c r="V5" s="457"/>
      <c r="W5" s="457"/>
    </row>
    <row r="6" spans="1:23" ht="7.9" customHeight="1">
      <c r="A6" s="457"/>
      <c r="B6" s="457"/>
      <c r="C6" s="457"/>
      <c r="D6" s="457"/>
      <c r="E6" s="457"/>
      <c r="F6" s="457"/>
      <c r="G6" s="457"/>
      <c r="H6" s="457"/>
      <c r="I6" s="457"/>
      <c r="J6" s="457"/>
      <c r="K6" s="457"/>
      <c r="L6" s="457"/>
      <c r="M6" s="457"/>
      <c r="N6" s="457"/>
      <c r="O6" s="457"/>
      <c r="P6" s="457"/>
      <c r="Q6" s="457"/>
      <c r="R6" s="457"/>
      <c r="S6" s="457"/>
      <c r="T6" s="457"/>
      <c r="U6" s="457"/>
      <c r="V6" s="457"/>
      <c r="W6" s="457"/>
    </row>
    <row r="7" spans="1:23" ht="15.75">
      <c r="A7" s="47" t="s">
        <v>38</v>
      </c>
      <c r="B7" s="457"/>
      <c r="C7" s="457"/>
      <c r="D7" s="457"/>
      <c r="E7" s="457"/>
      <c r="F7" s="457"/>
      <c r="G7" s="457"/>
      <c r="H7" s="457"/>
      <c r="I7" s="457"/>
      <c r="J7" s="457"/>
      <c r="K7" s="457"/>
      <c r="L7" s="457"/>
      <c r="M7" s="457"/>
      <c r="N7" s="457"/>
      <c r="O7" s="457"/>
      <c r="P7" s="457"/>
      <c r="Q7" s="457"/>
      <c r="R7" s="457"/>
      <c r="S7" s="457"/>
      <c r="T7" s="457"/>
      <c r="U7" s="457"/>
      <c r="V7" s="457"/>
      <c r="W7" s="457"/>
    </row>
    <row r="8" spans="1:23" ht="6.6" customHeight="1">
      <c r="A8" s="457"/>
      <c r="B8" s="457"/>
      <c r="C8" s="457"/>
      <c r="D8" s="457"/>
      <c r="E8" s="457"/>
      <c r="F8" s="457"/>
      <c r="G8" s="457"/>
      <c r="H8" s="457"/>
      <c r="I8" s="457"/>
      <c r="J8" s="457"/>
      <c r="K8" s="457"/>
      <c r="L8" s="457"/>
      <c r="M8" s="457"/>
      <c r="N8" s="457"/>
      <c r="O8" s="457"/>
      <c r="P8" s="457"/>
      <c r="Q8" s="457"/>
      <c r="R8" s="457"/>
      <c r="S8" s="457"/>
      <c r="T8" s="457"/>
      <c r="U8" s="457"/>
      <c r="V8" s="457"/>
      <c r="W8" s="457"/>
    </row>
    <row r="9" spans="1:23" ht="15.75">
      <c r="A9" s="47" t="s">
        <v>39</v>
      </c>
      <c r="B9" s="457"/>
      <c r="C9" s="457"/>
      <c r="D9" s="457"/>
      <c r="E9" s="457"/>
      <c r="F9" s="47"/>
      <c r="G9" s="47"/>
      <c r="H9" s="457"/>
      <c r="I9" s="457"/>
      <c r="J9" s="457"/>
      <c r="K9" s="457"/>
      <c r="L9" s="457"/>
      <c r="M9" s="457"/>
      <c r="N9" s="457"/>
      <c r="O9" s="457"/>
      <c r="P9" s="457"/>
      <c r="Q9" s="457"/>
      <c r="R9" s="457"/>
      <c r="S9" s="457"/>
      <c r="T9" s="457"/>
      <c r="U9" s="457"/>
      <c r="V9" s="457"/>
      <c r="W9" s="457"/>
    </row>
    <row r="10" spans="1:23" ht="15.75">
      <c r="A10" s="47" t="s">
        <v>40</v>
      </c>
      <c r="B10" s="457"/>
      <c r="C10" s="457"/>
      <c r="D10" s="457"/>
      <c r="E10" s="457"/>
      <c r="F10" s="47"/>
      <c r="G10" s="47"/>
      <c r="H10" s="457" t="s">
        <v>41</v>
      </c>
      <c r="I10" s="457"/>
      <c r="J10" s="457"/>
      <c r="K10" s="457"/>
      <c r="L10" s="457"/>
      <c r="M10" s="457"/>
      <c r="N10" s="457"/>
      <c r="O10" s="457"/>
      <c r="P10" s="457"/>
      <c r="Q10" s="457"/>
      <c r="R10" s="457"/>
      <c r="S10" s="457"/>
      <c r="T10" s="457"/>
      <c r="U10" s="457"/>
      <c r="V10" s="457"/>
      <c r="W10" s="457"/>
    </row>
    <row r="11" spans="1:23" ht="75.75" customHeight="1">
      <c r="A11" s="47" t="s">
        <v>42</v>
      </c>
      <c r="B11" s="458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  <c r="O11" s="459"/>
      <c r="P11" s="459"/>
      <c r="Q11" s="459"/>
      <c r="R11" s="459"/>
      <c r="S11" s="459"/>
      <c r="T11" s="459"/>
      <c r="U11" s="459"/>
      <c r="V11" s="459"/>
      <c r="W11" s="459"/>
    </row>
    <row r="12" spans="1:23" ht="15.75">
      <c r="A12" s="50" t="s">
        <v>43</v>
      </c>
      <c r="B12" s="460"/>
      <c r="C12" s="461"/>
      <c r="D12" s="461"/>
      <c r="E12" s="461"/>
      <c r="F12" s="461"/>
      <c r="G12" s="461"/>
      <c r="H12" s="461"/>
      <c r="I12" s="461"/>
      <c r="J12" s="461"/>
      <c r="K12" s="461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V12" s="461"/>
      <c r="W12" s="462"/>
    </row>
    <row r="13" spans="1:23" ht="29.45" customHeight="1">
      <c r="A13" s="455" t="s">
        <v>44</v>
      </c>
      <c r="B13" s="456"/>
      <c r="C13" s="456"/>
      <c r="D13" s="456"/>
      <c r="E13" s="456"/>
      <c r="F13" s="456"/>
      <c r="G13" s="456"/>
      <c r="H13" s="456"/>
      <c r="I13" s="456"/>
      <c r="J13" s="456"/>
      <c r="K13" s="456"/>
      <c r="L13" s="456"/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</row>
    <row r="14" spans="1:23" ht="19.5" customHeight="1">
      <c r="A14" s="441" t="s">
        <v>45</v>
      </c>
      <c r="B14" s="442"/>
      <c r="C14" s="444" t="s">
        <v>46</v>
      </c>
      <c r="D14" s="445"/>
      <c r="E14" s="445"/>
      <c r="F14" s="445"/>
      <c r="G14" s="446"/>
      <c r="H14" s="51" t="s">
        <v>47</v>
      </c>
      <c r="I14" s="447" t="s">
        <v>48</v>
      </c>
      <c r="J14" s="448"/>
      <c r="K14" s="448"/>
      <c r="L14" s="448"/>
      <c r="M14" s="448"/>
      <c r="N14" s="448"/>
      <c r="O14" s="448"/>
      <c r="P14" s="448"/>
      <c r="Q14" s="448"/>
      <c r="R14" s="448"/>
      <c r="S14" s="448"/>
      <c r="T14" s="448"/>
      <c r="U14" s="448"/>
      <c r="V14" s="449"/>
      <c r="W14" s="450" t="s">
        <v>49</v>
      </c>
    </row>
    <row r="15" spans="1:23" ht="18.75" customHeight="1">
      <c r="A15" s="443"/>
      <c r="B15" s="443"/>
      <c r="C15" s="452" t="s">
        <v>50</v>
      </c>
      <c r="D15" s="453"/>
      <c r="E15" s="454"/>
      <c r="F15" s="452" t="s">
        <v>51</v>
      </c>
      <c r="G15" s="454"/>
      <c r="H15" s="52" t="s">
        <v>47</v>
      </c>
      <c r="I15" s="52" t="s">
        <v>52</v>
      </c>
      <c r="J15" s="52" t="s">
        <v>53</v>
      </c>
      <c r="K15" s="52" t="s">
        <v>54</v>
      </c>
      <c r="L15" s="52" t="s">
        <v>55</v>
      </c>
      <c r="M15" s="52" t="s">
        <v>56</v>
      </c>
      <c r="N15" s="52" t="s">
        <v>57</v>
      </c>
      <c r="O15" s="52" t="s">
        <v>58</v>
      </c>
      <c r="P15" s="52" t="s">
        <v>59</v>
      </c>
      <c r="Q15" s="53" t="s">
        <v>218</v>
      </c>
      <c r="R15" s="52" t="s">
        <v>60</v>
      </c>
      <c r="S15" s="52" t="s">
        <v>61</v>
      </c>
      <c r="T15" s="52" t="s">
        <v>62</v>
      </c>
      <c r="U15" s="52" t="s">
        <v>63</v>
      </c>
      <c r="V15" s="52" t="s">
        <v>64</v>
      </c>
      <c r="W15" s="451"/>
    </row>
    <row r="16" spans="1:23" ht="16.5" customHeight="1">
      <c r="A16" s="428"/>
      <c r="B16" s="428"/>
      <c r="C16" s="54">
        <v>16</v>
      </c>
      <c r="D16" s="55">
        <v>8</v>
      </c>
      <c r="E16" s="56">
        <v>4</v>
      </c>
      <c r="F16" s="56">
        <v>4</v>
      </c>
      <c r="G16" s="56">
        <v>8</v>
      </c>
      <c r="H16" s="55"/>
      <c r="I16" s="55"/>
      <c r="J16" s="55"/>
      <c r="K16" s="55"/>
      <c r="L16" s="55"/>
      <c r="M16" s="55"/>
      <c r="N16" s="55"/>
      <c r="O16" s="55"/>
      <c r="P16" s="56"/>
      <c r="Q16" s="56"/>
      <c r="R16" s="55"/>
      <c r="S16" s="55"/>
      <c r="T16" s="55"/>
      <c r="U16" s="55"/>
      <c r="V16" s="55"/>
      <c r="W16" s="57" t="s">
        <v>236</v>
      </c>
    </row>
    <row r="17" spans="1:23" ht="16.5" customHeight="1">
      <c r="A17" s="465" t="s">
        <v>190</v>
      </c>
      <c r="B17" s="466"/>
      <c r="C17" s="54"/>
      <c r="D17" s="55"/>
      <c r="E17" s="56"/>
      <c r="F17" s="56"/>
      <c r="G17" s="56"/>
      <c r="H17" s="55"/>
      <c r="I17" s="55"/>
      <c r="J17" s="55"/>
      <c r="K17" s="55"/>
      <c r="L17" s="55"/>
      <c r="M17" s="55"/>
      <c r="N17" s="55"/>
      <c r="O17" s="55"/>
      <c r="P17" s="56"/>
      <c r="Q17" s="56"/>
      <c r="R17" s="55"/>
      <c r="S17" s="55"/>
      <c r="T17" s="55"/>
      <c r="U17" s="55"/>
      <c r="V17" s="55"/>
      <c r="W17" s="57"/>
    </row>
    <row r="18" spans="1:23" ht="15.75" customHeight="1">
      <c r="A18" s="429" t="s">
        <v>187</v>
      </c>
      <c r="B18" s="429"/>
      <c r="C18" s="58">
        <v>1</v>
      </c>
      <c r="D18" s="58"/>
      <c r="E18" s="58"/>
      <c r="F18" s="58"/>
      <c r="G18" s="58"/>
      <c r="H18" s="59"/>
      <c r="I18" s="60"/>
      <c r="J18" s="58"/>
      <c r="K18" s="58"/>
      <c r="L18" s="61"/>
      <c r="M18" s="62"/>
      <c r="N18" s="62"/>
      <c r="O18" s="62"/>
      <c r="P18" s="62"/>
      <c r="R18" s="59"/>
      <c r="S18" s="62">
        <v>2</v>
      </c>
      <c r="T18" s="59"/>
      <c r="U18" s="62"/>
      <c r="V18" s="61"/>
      <c r="W18" s="61" t="s">
        <v>189</v>
      </c>
    </row>
    <row r="19" spans="1:23" ht="15.75" customHeight="1">
      <c r="A19" s="429" t="s">
        <v>188</v>
      </c>
      <c r="B19" s="429"/>
      <c r="C19" s="58"/>
      <c r="D19" s="58"/>
      <c r="E19" s="58"/>
      <c r="F19" s="58"/>
      <c r="G19" s="58"/>
      <c r="H19" s="59"/>
      <c r="I19" s="60"/>
      <c r="J19" s="58"/>
      <c r="K19" s="58"/>
      <c r="L19" s="61"/>
      <c r="M19" s="62"/>
      <c r="N19" s="62"/>
      <c r="O19" s="62"/>
      <c r="P19" s="62"/>
      <c r="Q19" s="62">
        <v>1</v>
      </c>
      <c r="R19" s="59"/>
      <c r="S19" s="59"/>
      <c r="T19" s="59"/>
      <c r="U19" s="62"/>
      <c r="V19" s="61"/>
      <c r="W19" s="61" t="s">
        <v>189</v>
      </c>
    </row>
    <row r="20" spans="1:23" ht="15.75" customHeight="1">
      <c r="A20" s="429" t="s">
        <v>191</v>
      </c>
      <c r="B20" s="429"/>
      <c r="C20" s="58"/>
      <c r="D20" s="58"/>
      <c r="E20" s="58"/>
      <c r="F20" s="58"/>
      <c r="G20" s="58"/>
      <c r="H20" s="59"/>
      <c r="I20" s="60"/>
      <c r="J20" s="58"/>
      <c r="K20" s="58"/>
      <c r="L20" s="61"/>
      <c r="M20" s="62"/>
      <c r="N20" s="62"/>
      <c r="O20" s="62"/>
      <c r="P20" s="62"/>
      <c r="Q20" s="62"/>
      <c r="R20" s="59"/>
      <c r="S20" s="59">
        <v>1</v>
      </c>
      <c r="T20" s="59"/>
      <c r="U20" s="62"/>
      <c r="V20" s="61"/>
      <c r="W20" s="61" t="s">
        <v>189</v>
      </c>
    </row>
    <row r="21" spans="1:23" ht="15.75" customHeight="1">
      <c r="A21" s="370" t="s">
        <v>237</v>
      </c>
      <c r="B21" s="371"/>
      <c r="C21" s="58"/>
      <c r="D21" s="58"/>
      <c r="E21" s="58"/>
      <c r="F21" s="58"/>
      <c r="G21" s="58"/>
      <c r="H21" s="59"/>
      <c r="I21" s="60"/>
      <c r="J21" s="58"/>
      <c r="K21" s="58"/>
      <c r="L21" s="61"/>
      <c r="M21" s="62"/>
      <c r="N21" s="62"/>
      <c r="O21" s="62"/>
      <c r="P21" s="62"/>
      <c r="Q21" s="62">
        <v>1</v>
      </c>
      <c r="R21" s="59"/>
      <c r="S21" s="59"/>
      <c r="T21" s="59"/>
      <c r="U21" s="62"/>
      <c r="V21" s="61"/>
      <c r="W21" s="61" t="s">
        <v>189</v>
      </c>
    </row>
    <row r="22" spans="1:23" ht="15.75" customHeight="1">
      <c r="A22" s="435" t="s">
        <v>192</v>
      </c>
      <c r="B22" s="436"/>
      <c r="C22" s="58"/>
      <c r="D22" s="58"/>
      <c r="E22" s="58"/>
      <c r="F22" s="58"/>
      <c r="G22" s="58"/>
      <c r="H22" s="59"/>
      <c r="I22" s="60"/>
      <c r="J22" s="58"/>
      <c r="K22" s="58"/>
      <c r="L22" s="61"/>
      <c r="M22" s="62"/>
      <c r="N22" s="62"/>
      <c r="O22" s="62"/>
      <c r="P22" s="62">
        <v>1</v>
      </c>
      <c r="Q22" s="62"/>
      <c r="R22" s="59"/>
      <c r="S22" s="59"/>
      <c r="T22" s="59"/>
      <c r="U22" s="62"/>
      <c r="V22" s="61"/>
      <c r="W22" s="61"/>
    </row>
    <row r="23" spans="1:23" ht="15.75" customHeight="1">
      <c r="A23" s="433" t="s">
        <v>193</v>
      </c>
      <c r="B23" s="434"/>
      <c r="C23" s="58"/>
      <c r="D23" s="58"/>
      <c r="E23" s="58"/>
      <c r="F23" s="58"/>
      <c r="G23" s="58"/>
      <c r="H23" s="59"/>
      <c r="I23" s="60"/>
      <c r="J23" s="58"/>
      <c r="K23" s="58"/>
      <c r="L23" s="61"/>
      <c r="M23" s="62"/>
      <c r="N23" s="62"/>
      <c r="O23" s="62"/>
      <c r="P23" s="62"/>
      <c r="Q23" s="62"/>
      <c r="R23" s="59"/>
      <c r="S23" s="59"/>
      <c r="T23" s="59"/>
      <c r="U23" s="62"/>
      <c r="V23" s="61"/>
      <c r="W23" s="61"/>
    </row>
    <row r="24" spans="1:23" ht="16.5" customHeight="1">
      <c r="A24" s="430" t="s">
        <v>192</v>
      </c>
      <c r="B24" s="430"/>
      <c r="C24" s="58"/>
      <c r="D24" s="58">
        <v>1</v>
      </c>
      <c r="E24" s="58"/>
      <c r="F24" s="58"/>
      <c r="G24" s="58"/>
      <c r="H24" s="59"/>
      <c r="I24" s="59"/>
      <c r="J24" s="58"/>
      <c r="K24" s="58"/>
      <c r="L24" s="61"/>
      <c r="M24" s="62"/>
      <c r="N24" s="62"/>
      <c r="O24" s="62"/>
      <c r="P24" s="62">
        <v>1</v>
      </c>
      <c r="Q24" s="62"/>
      <c r="R24" s="59"/>
      <c r="S24" s="59"/>
      <c r="T24" s="59"/>
      <c r="U24" s="62"/>
      <c r="V24" s="61"/>
      <c r="W24" s="61"/>
    </row>
    <row r="25" spans="1:23" ht="16.5" customHeight="1">
      <c r="A25" s="433" t="s">
        <v>194</v>
      </c>
      <c r="B25" s="434"/>
      <c r="C25" s="58"/>
      <c r="D25" s="58"/>
      <c r="E25" s="58"/>
      <c r="F25" s="58"/>
      <c r="G25" s="58"/>
      <c r="H25" s="59"/>
      <c r="I25" s="59"/>
      <c r="J25" s="58"/>
      <c r="K25" s="58"/>
      <c r="L25" s="61"/>
      <c r="M25" s="62"/>
      <c r="N25" s="62"/>
      <c r="O25" s="62"/>
      <c r="P25" s="62"/>
      <c r="Q25" s="62"/>
      <c r="R25" s="59"/>
      <c r="S25" s="59"/>
      <c r="T25" s="59"/>
      <c r="U25" s="62"/>
      <c r="V25" s="61"/>
      <c r="W25" s="61"/>
    </row>
    <row r="26" spans="1:23" ht="16.5" customHeight="1">
      <c r="A26" s="429" t="s">
        <v>192</v>
      </c>
      <c r="B26" s="429"/>
      <c r="C26" s="58"/>
      <c r="D26" s="58">
        <v>1</v>
      </c>
      <c r="E26" s="58"/>
      <c r="F26" s="58"/>
      <c r="G26" s="58"/>
      <c r="H26" s="59"/>
      <c r="I26" s="59"/>
      <c r="J26" s="58"/>
      <c r="K26" s="58"/>
      <c r="L26" s="61"/>
      <c r="M26" s="62"/>
      <c r="N26" s="62"/>
      <c r="O26" s="62"/>
      <c r="P26" s="62">
        <v>1</v>
      </c>
      <c r="Q26" s="62"/>
      <c r="R26" s="59"/>
      <c r="S26" s="59"/>
      <c r="T26" s="59"/>
      <c r="U26" s="62"/>
      <c r="V26" s="61"/>
      <c r="W26" s="61"/>
    </row>
    <row r="27" spans="1:23" ht="16.5" customHeight="1">
      <c r="A27" s="433" t="s">
        <v>195</v>
      </c>
      <c r="B27" s="434"/>
      <c r="C27" s="58"/>
      <c r="D27" s="58"/>
      <c r="E27" s="58"/>
      <c r="F27" s="58"/>
      <c r="G27" s="58"/>
      <c r="H27" s="59"/>
      <c r="I27" s="59"/>
      <c r="J27" s="58"/>
      <c r="K27" s="58"/>
      <c r="L27" s="61"/>
      <c r="M27" s="62"/>
      <c r="N27" s="62"/>
      <c r="O27" s="62"/>
      <c r="P27" s="62"/>
      <c r="Q27" s="62"/>
      <c r="R27" s="59"/>
      <c r="S27" s="59"/>
      <c r="T27" s="59"/>
      <c r="U27" s="62"/>
      <c r="V27" s="61"/>
      <c r="W27" s="61"/>
    </row>
    <row r="28" spans="1:23" ht="16.5" customHeight="1">
      <c r="A28" s="435" t="s">
        <v>192</v>
      </c>
      <c r="B28" s="436"/>
      <c r="C28" s="58"/>
      <c r="D28" s="58">
        <v>1</v>
      </c>
      <c r="E28" s="58"/>
      <c r="F28" s="58"/>
      <c r="G28" s="58"/>
      <c r="H28" s="59"/>
      <c r="I28" s="59"/>
      <c r="J28" s="58"/>
      <c r="K28" s="58"/>
      <c r="L28" s="61"/>
      <c r="M28" s="62"/>
      <c r="N28" s="62"/>
      <c r="O28" s="62"/>
      <c r="P28" s="62">
        <v>1</v>
      </c>
      <c r="Q28" s="62"/>
      <c r="R28" s="59"/>
      <c r="S28" s="59"/>
      <c r="T28" s="59"/>
      <c r="U28" s="62"/>
      <c r="V28" s="61"/>
      <c r="W28" s="61"/>
    </row>
    <row r="29" spans="1:23" ht="16.5" customHeight="1">
      <c r="A29" s="433" t="s">
        <v>196</v>
      </c>
      <c r="B29" s="434"/>
      <c r="C29" s="58"/>
      <c r="D29" s="58"/>
      <c r="E29" s="58"/>
      <c r="F29" s="58"/>
      <c r="G29" s="58"/>
      <c r="H29" s="59"/>
      <c r="I29" s="59"/>
      <c r="J29" s="58"/>
      <c r="K29" s="58"/>
      <c r="L29" s="61"/>
      <c r="M29" s="62"/>
      <c r="N29" s="62"/>
      <c r="O29" s="62"/>
      <c r="P29" s="62"/>
      <c r="Q29" s="62"/>
      <c r="R29" s="59"/>
      <c r="S29" s="59"/>
      <c r="T29" s="59"/>
      <c r="U29" s="62"/>
      <c r="V29" s="61"/>
      <c r="W29" s="61"/>
    </row>
    <row r="30" spans="1:23" ht="16.5" customHeight="1">
      <c r="A30" s="435" t="s">
        <v>192</v>
      </c>
      <c r="B30" s="436"/>
      <c r="C30" s="58"/>
      <c r="D30" s="58"/>
      <c r="E30" s="58"/>
      <c r="F30" s="58"/>
      <c r="G30" s="58"/>
      <c r="H30" s="59"/>
      <c r="I30" s="59"/>
      <c r="J30" s="58"/>
      <c r="K30" s="58"/>
      <c r="L30" s="61"/>
      <c r="M30" s="62"/>
      <c r="N30" s="62"/>
      <c r="O30" s="62"/>
      <c r="P30" s="62">
        <v>1</v>
      </c>
      <c r="Q30" s="62"/>
      <c r="R30" s="59"/>
      <c r="S30" s="59"/>
      <c r="T30" s="59"/>
      <c r="U30" s="62"/>
      <c r="V30" s="61"/>
      <c r="W30" s="61"/>
    </row>
    <row r="31" spans="1:23" ht="16.5" customHeight="1">
      <c r="A31" s="433" t="s">
        <v>197</v>
      </c>
      <c r="B31" s="434"/>
      <c r="C31" s="58"/>
      <c r="D31" s="58"/>
      <c r="E31" s="58"/>
      <c r="F31" s="58"/>
      <c r="G31" s="58"/>
      <c r="H31" s="59"/>
      <c r="I31" s="59"/>
      <c r="J31" s="58"/>
      <c r="K31" s="58"/>
      <c r="L31" s="61"/>
      <c r="M31" s="62"/>
      <c r="N31" s="62"/>
      <c r="O31" s="62"/>
      <c r="P31" s="62"/>
      <c r="Q31" s="62"/>
      <c r="R31" s="59"/>
      <c r="S31" s="59"/>
      <c r="T31" s="59"/>
      <c r="U31" s="62"/>
      <c r="V31" s="61"/>
      <c r="W31" s="61"/>
    </row>
    <row r="32" spans="1:23" ht="16.5" customHeight="1">
      <c r="A32" s="435" t="s">
        <v>192</v>
      </c>
      <c r="B32" s="436"/>
      <c r="C32" s="58"/>
      <c r="D32" s="58"/>
      <c r="E32" s="58"/>
      <c r="F32" s="58"/>
      <c r="G32" s="58"/>
      <c r="H32" s="59"/>
      <c r="I32" s="59"/>
      <c r="J32" s="58"/>
      <c r="K32" s="58"/>
      <c r="L32" s="61"/>
      <c r="M32" s="62"/>
      <c r="N32" s="62"/>
      <c r="O32" s="62"/>
      <c r="P32" s="62">
        <v>1</v>
      </c>
      <c r="Q32" s="62"/>
      <c r="R32" s="59"/>
      <c r="S32" s="59"/>
      <c r="T32" s="59"/>
      <c r="U32" s="62"/>
      <c r="V32" s="61"/>
      <c r="W32" s="61"/>
    </row>
    <row r="33" spans="1:23" ht="16.5" customHeight="1">
      <c r="A33" s="433" t="s">
        <v>198</v>
      </c>
      <c r="B33" s="434"/>
      <c r="C33" s="58"/>
      <c r="D33" s="58"/>
      <c r="E33" s="58"/>
      <c r="F33" s="58"/>
      <c r="G33" s="58"/>
      <c r="H33" s="59"/>
      <c r="I33" s="59"/>
      <c r="J33" s="58"/>
      <c r="K33" s="58"/>
      <c r="L33" s="61"/>
      <c r="M33" s="62"/>
      <c r="N33" s="62"/>
      <c r="O33" s="62"/>
      <c r="P33" s="62"/>
      <c r="Q33" s="62"/>
      <c r="R33" s="59"/>
      <c r="S33" s="59"/>
      <c r="T33" s="59"/>
      <c r="U33" s="62"/>
      <c r="V33" s="61"/>
      <c r="W33" s="61"/>
    </row>
    <row r="34" spans="1:23" ht="16.5" customHeight="1">
      <c r="A34" s="435" t="s">
        <v>192</v>
      </c>
      <c r="B34" s="436"/>
      <c r="C34" s="58"/>
      <c r="D34" s="58"/>
      <c r="E34" s="58"/>
      <c r="F34" s="58"/>
      <c r="G34" s="58"/>
      <c r="H34" s="59"/>
      <c r="I34" s="59"/>
      <c r="J34" s="58"/>
      <c r="K34" s="58"/>
      <c r="L34" s="61"/>
      <c r="M34" s="62"/>
      <c r="N34" s="62"/>
      <c r="O34" s="62"/>
      <c r="P34" s="62">
        <v>1</v>
      </c>
      <c r="Q34" s="62"/>
      <c r="R34" s="59"/>
      <c r="S34" s="59"/>
      <c r="T34" s="59"/>
      <c r="U34" s="62"/>
      <c r="V34" s="61"/>
      <c r="W34" s="61"/>
    </row>
    <row r="35" spans="1:23" ht="16.5" customHeight="1">
      <c r="A35" s="437"/>
      <c r="B35" s="438"/>
      <c r="C35" s="58"/>
      <c r="D35" s="58"/>
      <c r="E35" s="58"/>
      <c r="F35" s="58"/>
      <c r="G35" s="58"/>
      <c r="H35" s="59"/>
      <c r="I35" s="59"/>
      <c r="J35" s="58"/>
      <c r="K35" s="58"/>
      <c r="L35" s="61"/>
      <c r="M35" s="62"/>
      <c r="N35" s="62"/>
      <c r="O35" s="62"/>
      <c r="P35" s="62"/>
      <c r="Q35" s="62"/>
      <c r="R35" s="59"/>
      <c r="S35" s="59"/>
      <c r="T35" s="59"/>
      <c r="U35" s="62"/>
      <c r="V35" s="61"/>
      <c r="W35" s="61"/>
    </row>
    <row r="36" spans="1:23" ht="16.5" customHeight="1">
      <c r="A36" s="437"/>
      <c r="B36" s="438"/>
      <c r="C36" s="58"/>
      <c r="D36" s="58"/>
      <c r="E36" s="58"/>
      <c r="F36" s="58"/>
      <c r="G36" s="58"/>
      <c r="H36" s="59"/>
      <c r="I36" s="59"/>
      <c r="J36" s="58"/>
      <c r="K36" s="58"/>
      <c r="L36" s="61"/>
      <c r="M36" s="62"/>
      <c r="N36" s="62"/>
      <c r="O36" s="62"/>
      <c r="P36" s="62"/>
      <c r="Q36" s="62"/>
      <c r="R36" s="59"/>
      <c r="S36" s="59"/>
      <c r="T36" s="59"/>
      <c r="U36" s="62"/>
      <c r="V36" s="61"/>
      <c r="W36" s="61"/>
    </row>
    <row r="37" spans="1:23" ht="16.5" customHeight="1">
      <c r="A37" s="439"/>
      <c r="B37" s="440"/>
      <c r="C37" s="58"/>
      <c r="D37" s="58"/>
      <c r="E37" s="58"/>
      <c r="F37" s="58"/>
      <c r="G37" s="58"/>
      <c r="H37" s="59"/>
      <c r="I37" s="59"/>
      <c r="J37" s="58"/>
      <c r="K37" s="58"/>
      <c r="L37" s="61"/>
      <c r="M37" s="62"/>
      <c r="N37" s="62"/>
      <c r="O37" s="62"/>
      <c r="P37" s="62"/>
      <c r="Q37" s="62"/>
      <c r="R37" s="59"/>
      <c r="S37" s="59"/>
      <c r="T37" s="59"/>
      <c r="U37" s="62"/>
      <c r="V37" s="61"/>
      <c r="W37" s="61"/>
    </row>
    <row r="38" spans="1:23" ht="15.75" customHeight="1">
      <c r="A38" s="431"/>
      <c r="B38" s="431"/>
      <c r="C38" s="58"/>
      <c r="D38" s="58"/>
      <c r="E38" s="58"/>
      <c r="F38" s="58"/>
      <c r="G38" s="58"/>
      <c r="H38" s="59"/>
      <c r="I38" s="59"/>
      <c r="J38" s="58"/>
      <c r="K38" s="58"/>
      <c r="L38" s="61"/>
      <c r="M38" s="62"/>
      <c r="N38" s="62"/>
      <c r="O38" s="62"/>
      <c r="P38" s="62"/>
      <c r="Q38" s="62"/>
      <c r="R38" s="59"/>
      <c r="S38" s="59"/>
      <c r="T38" s="59"/>
      <c r="U38" s="62"/>
      <c r="V38" s="61"/>
      <c r="W38" s="61"/>
    </row>
    <row r="39" spans="1:23" ht="15.75" customHeight="1">
      <c r="A39" s="432"/>
      <c r="B39" s="432"/>
      <c r="C39" s="58"/>
      <c r="D39" s="58"/>
      <c r="E39" s="58"/>
      <c r="F39" s="58"/>
      <c r="G39" s="58"/>
      <c r="H39" s="59"/>
      <c r="I39" s="59"/>
      <c r="J39" s="59"/>
      <c r="K39" s="58"/>
      <c r="L39" s="61"/>
      <c r="M39" s="62"/>
      <c r="N39" s="62"/>
      <c r="O39" s="62"/>
      <c r="P39" s="62"/>
      <c r="Q39" s="62"/>
      <c r="R39" s="59"/>
      <c r="S39" s="59"/>
      <c r="T39" s="59"/>
      <c r="U39" s="62"/>
      <c r="V39" s="61"/>
      <c r="W39" s="61"/>
    </row>
    <row r="40" spans="1:23" ht="15.75">
      <c r="A40" s="426" t="s">
        <v>9</v>
      </c>
      <c r="B40" s="427"/>
      <c r="C40" s="63">
        <f t="shared" ref="C40:V40" si="0">SUM(C18:C39)</f>
        <v>1</v>
      </c>
      <c r="D40" s="63">
        <f t="shared" si="0"/>
        <v>3</v>
      </c>
      <c r="E40" s="63">
        <f t="shared" si="0"/>
        <v>0</v>
      </c>
      <c r="F40" s="63">
        <f t="shared" si="0"/>
        <v>0</v>
      </c>
      <c r="G40" s="63">
        <f t="shared" si="0"/>
        <v>0</v>
      </c>
      <c r="H40" s="63">
        <f t="shared" si="0"/>
        <v>0</v>
      </c>
      <c r="I40" s="63">
        <f t="shared" si="0"/>
        <v>0</v>
      </c>
      <c r="J40" s="63">
        <f t="shared" si="0"/>
        <v>0</v>
      </c>
      <c r="K40" s="63">
        <f t="shared" si="0"/>
        <v>0</v>
      </c>
      <c r="L40" s="63">
        <f t="shared" si="0"/>
        <v>0</v>
      </c>
      <c r="M40" s="63">
        <f t="shared" si="0"/>
        <v>0</v>
      </c>
      <c r="N40" s="63">
        <f t="shared" si="0"/>
        <v>0</v>
      </c>
      <c r="O40" s="63">
        <f t="shared" si="0"/>
        <v>0</v>
      </c>
      <c r="P40" s="63">
        <f t="shared" si="0"/>
        <v>7</v>
      </c>
      <c r="Q40" s="63">
        <f t="shared" si="0"/>
        <v>2</v>
      </c>
      <c r="R40" s="63">
        <f t="shared" si="0"/>
        <v>0</v>
      </c>
      <c r="S40" s="63">
        <f>SUM(S18:S39)</f>
        <v>3</v>
      </c>
      <c r="T40" s="63">
        <f t="shared" si="0"/>
        <v>0</v>
      </c>
      <c r="U40" s="63">
        <f t="shared" si="0"/>
        <v>0</v>
      </c>
      <c r="V40" s="63">
        <f t="shared" si="0"/>
        <v>0</v>
      </c>
      <c r="W40" s="64">
        <f>SUM(J40:V40)</f>
        <v>12</v>
      </c>
    </row>
  </sheetData>
  <mergeCells count="49">
    <mergeCell ref="A32:B32"/>
    <mergeCell ref="A34:B34"/>
    <mergeCell ref="A33:B33"/>
    <mergeCell ref="A17:B17"/>
    <mergeCell ref="A22:B22"/>
    <mergeCell ref="A23:B23"/>
    <mergeCell ref="A25:B25"/>
    <mergeCell ref="A31:B31"/>
    <mergeCell ref="B1:W1"/>
    <mergeCell ref="B2:W2"/>
    <mergeCell ref="B3:E3"/>
    <mergeCell ref="H3:U3"/>
    <mergeCell ref="B4:E4"/>
    <mergeCell ref="H4:U4"/>
    <mergeCell ref="A13:W13"/>
    <mergeCell ref="B5:W5"/>
    <mergeCell ref="A6:W6"/>
    <mergeCell ref="B7:W7"/>
    <mergeCell ref="A8:W8"/>
    <mergeCell ref="B9:E9"/>
    <mergeCell ref="H9:N9"/>
    <mergeCell ref="O9:W9"/>
    <mergeCell ref="B10:E10"/>
    <mergeCell ref="H10:N10"/>
    <mergeCell ref="O10:W10"/>
    <mergeCell ref="B11:W11"/>
    <mergeCell ref="B12:W12"/>
    <mergeCell ref="A14:B15"/>
    <mergeCell ref="C14:G14"/>
    <mergeCell ref="I14:V14"/>
    <mergeCell ref="W14:W15"/>
    <mergeCell ref="C15:E15"/>
    <mergeCell ref="F15:G15"/>
    <mergeCell ref="A40:B40"/>
    <mergeCell ref="A16:B16"/>
    <mergeCell ref="A18:B18"/>
    <mergeCell ref="A19:B19"/>
    <mergeCell ref="A20:B20"/>
    <mergeCell ref="A24:B24"/>
    <mergeCell ref="A38:B38"/>
    <mergeCell ref="A39:B39"/>
    <mergeCell ref="A26:B26"/>
    <mergeCell ref="A27:B27"/>
    <mergeCell ref="A28:B28"/>
    <mergeCell ref="A35:B35"/>
    <mergeCell ref="A29:B29"/>
    <mergeCell ref="A30:B30"/>
    <mergeCell ref="A36:B36"/>
    <mergeCell ref="A37:B37"/>
  </mergeCells>
  <pageMargins left="0.125" right="0.19791666666666666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496C-0357-4649-96CD-B71DAAEA5FDD}">
  <dimension ref="A1:I54"/>
  <sheetViews>
    <sheetView tabSelected="1" topLeftCell="A10" workbookViewId="0">
      <selection activeCell="C33" sqref="C33"/>
    </sheetView>
  </sheetViews>
  <sheetFormatPr defaultRowHeight="15"/>
  <cols>
    <col min="1" max="1" width="26.7109375" customWidth="1"/>
    <col min="2" max="2" width="6.42578125" style="65" customWidth="1"/>
    <col min="3" max="3" width="13.5703125" customWidth="1"/>
    <col min="4" max="4" width="14.85546875" customWidth="1"/>
    <col min="5" max="5" width="14.42578125" customWidth="1"/>
    <col min="6" max="6" width="16.140625" customWidth="1"/>
    <col min="7" max="7" width="15.5703125" customWidth="1"/>
    <col min="8" max="8" width="13.28515625" customWidth="1"/>
  </cols>
  <sheetData>
    <row r="1" spans="1:8">
      <c r="A1" s="68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</row>
    <row r="2" spans="1:8">
      <c r="A2" s="1" t="s">
        <v>8</v>
      </c>
      <c r="B2" s="133"/>
      <c r="C2" s="2"/>
      <c r="D2" s="2"/>
      <c r="E2" s="2"/>
      <c r="F2" s="2"/>
      <c r="G2" s="2"/>
      <c r="H2" s="2"/>
    </row>
    <row r="3" spans="1:8">
      <c r="A3" s="48" t="s">
        <v>133</v>
      </c>
      <c r="B3" s="16">
        <v>0</v>
      </c>
      <c r="C3" s="330">
        <v>840</v>
      </c>
      <c r="D3" s="165">
        <f>C3*0.35</f>
        <v>294</v>
      </c>
      <c r="E3" s="166">
        <f t="shared" ref="E3:E12" si="0">D3+C3</f>
        <v>1134</v>
      </c>
      <c r="F3" s="167">
        <f t="shared" ref="F3:F12" si="1">C3*B3</f>
        <v>0</v>
      </c>
      <c r="G3" s="168">
        <f t="shared" ref="G3:G12" si="2">E3*B3</f>
        <v>0</v>
      </c>
      <c r="H3" s="169">
        <f t="shared" ref="H3:H12" si="3">D3*B3</f>
        <v>0</v>
      </c>
    </row>
    <row r="4" spans="1:8">
      <c r="A4" s="48" t="s">
        <v>134</v>
      </c>
      <c r="B4" s="16">
        <v>0</v>
      </c>
      <c r="C4" s="330">
        <v>151.19999999999999</v>
      </c>
      <c r="D4" s="165">
        <f t="shared" ref="D4:D6" si="4">C4*0.45</f>
        <v>68.039999999999992</v>
      </c>
      <c r="E4" s="166">
        <f t="shared" si="0"/>
        <v>219.23999999999998</v>
      </c>
      <c r="F4" s="167">
        <f t="shared" si="1"/>
        <v>0</v>
      </c>
      <c r="G4" s="168">
        <f t="shared" si="2"/>
        <v>0</v>
      </c>
      <c r="H4" s="169">
        <f t="shared" si="3"/>
        <v>0</v>
      </c>
    </row>
    <row r="5" spans="1:8">
      <c r="A5" s="48" t="s">
        <v>135</v>
      </c>
      <c r="B5" s="16">
        <f>VSS!W40</f>
        <v>12</v>
      </c>
      <c r="C5" s="330">
        <v>129</v>
      </c>
      <c r="D5" s="165">
        <f t="shared" si="4"/>
        <v>58.050000000000004</v>
      </c>
      <c r="E5" s="166">
        <f t="shared" si="0"/>
        <v>187.05</v>
      </c>
      <c r="F5" s="167">
        <f t="shared" si="1"/>
        <v>1548</v>
      </c>
      <c r="G5" s="168">
        <f t="shared" si="2"/>
        <v>2244.6000000000004</v>
      </c>
      <c r="H5" s="169">
        <f t="shared" si="3"/>
        <v>696.6</v>
      </c>
    </row>
    <row r="6" spans="1:8">
      <c r="A6" s="48" t="s">
        <v>136</v>
      </c>
      <c r="B6" s="16">
        <f>B5</f>
        <v>12</v>
      </c>
      <c r="C6" s="330">
        <v>26.459999999999997</v>
      </c>
      <c r="D6" s="165">
        <f t="shared" si="4"/>
        <v>11.906999999999998</v>
      </c>
      <c r="E6" s="166">
        <f t="shared" si="0"/>
        <v>38.366999999999997</v>
      </c>
      <c r="F6" s="170">
        <f t="shared" si="1"/>
        <v>317.52</v>
      </c>
      <c r="G6" s="168">
        <f t="shared" si="2"/>
        <v>460.404</v>
      </c>
      <c r="H6" s="169">
        <f t="shared" si="3"/>
        <v>142.88399999999999</v>
      </c>
    </row>
    <row r="7" spans="1:8">
      <c r="A7" s="3"/>
      <c r="B7" s="18"/>
      <c r="C7" s="19"/>
      <c r="D7" s="20"/>
      <c r="E7" s="21" t="s">
        <v>9</v>
      </c>
      <c r="F7" s="372">
        <f>SUM(F3:F6)</f>
        <v>1865.52</v>
      </c>
      <c r="G7" s="372">
        <f>SUM(G3:G6)</f>
        <v>2705.0040000000004</v>
      </c>
      <c r="H7" s="372">
        <f>SUM(H3:H6)</f>
        <v>839.48400000000004</v>
      </c>
    </row>
    <row r="8" spans="1:8" ht="6.75" customHeight="1">
      <c r="A8" s="4"/>
      <c r="B8" s="18"/>
      <c r="C8" s="19"/>
      <c r="D8" s="19"/>
      <c r="E8" s="22"/>
      <c r="F8" s="19"/>
      <c r="G8" s="19"/>
      <c r="H8" s="338"/>
    </row>
    <row r="9" spans="1:8">
      <c r="A9" s="5" t="s">
        <v>10</v>
      </c>
      <c r="B9" s="6"/>
      <c r="C9" s="6"/>
      <c r="D9" s="6"/>
      <c r="E9" s="6"/>
      <c r="F9" s="6"/>
      <c r="G9" s="6"/>
      <c r="H9" s="7"/>
    </row>
    <row r="10" spans="1:8">
      <c r="A10" s="162" t="s">
        <v>224</v>
      </c>
      <c r="B10" s="16">
        <v>1</v>
      </c>
      <c r="C10" s="332">
        <v>6446</v>
      </c>
      <c r="D10" s="169">
        <f>C10*0.35</f>
        <v>2256.1</v>
      </c>
      <c r="E10" s="166">
        <f t="shared" si="0"/>
        <v>8702.1</v>
      </c>
      <c r="F10" s="170">
        <f t="shared" si="1"/>
        <v>6446</v>
      </c>
      <c r="G10" s="168">
        <f t="shared" si="2"/>
        <v>8702.1</v>
      </c>
      <c r="H10" s="169">
        <f t="shared" si="3"/>
        <v>2256.1</v>
      </c>
    </row>
    <row r="11" spans="1:8">
      <c r="A11" s="67" t="s">
        <v>231</v>
      </c>
      <c r="B11" s="60">
        <v>1</v>
      </c>
      <c r="C11" s="248">
        <v>1865.4</v>
      </c>
      <c r="D11" s="169">
        <f t="shared" ref="D11:D12" si="5">C11*0.35</f>
        <v>652.89</v>
      </c>
      <c r="E11" s="166">
        <f>D11+C11</f>
        <v>2518.29</v>
      </c>
      <c r="F11" s="170">
        <f>C11*B11</f>
        <v>1865.4</v>
      </c>
      <c r="G11" s="168">
        <f>E11*B11</f>
        <v>2518.29</v>
      </c>
      <c r="H11" s="169">
        <f>D11*B11</f>
        <v>652.89</v>
      </c>
    </row>
    <row r="12" spans="1:8">
      <c r="A12" s="67" t="s">
        <v>140</v>
      </c>
      <c r="B12" s="16">
        <v>1</v>
      </c>
      <c r="C12" s="333">
        <v>2500</v>
      </c>
      <c r="D12" s="169">
        <f t="shared" si="5"/>
        <v>875</v>
      </c>
      <c r="E12" s="166">
        <f t="shared" si="0"/>
        <v>3375</v>
      </c>
      <c r="F12" s="170">
        <f t="shared" si="1"/>
        <v>2500</v>
      </c>
      <c r="G12" s="168">
        <f t="shared" si="2"/>
        <v>3375</v>
      </c>
      <c r="H12" s="169">
        <f t="shared" si="3"/>
        <v>875</v>
      </c>
    </row>
    <row r="13" spans="1:8" ht="15.75">
      <c r="A13" s="9"/>
      <c r="B13" s="134"/>
      <c r="C13" s="334"/>
      <c r="D13" s="10"/>
      <c r="E13" s="11" t="s">
        <v>9</v>
      </c>
      <c r="F13" s="171">
        <f>SUM(F10:F12)</f>
        <v>10811.4</v>
      </c>
      <c r="G13" s="171">
        <f>SUM(G10:G12)</f>
        <v>14595.39</v>
      </c>
      <c r="H13" s="171">
        <f>SUM(H10:H12)</f>
        <v>3783.99</v>
      </c>
    </row>
    <row r="14" spans="1:8" ht="15.75">
      <c r="A14" s="12"/>
      <c r="B14" s="13"/>
      <c r="C14" s="335"/>
      <c r="D14" s="13"/>
      <c r="E14" s="14" t="s">
        <v>11</v>
      </c>
      <c r="F14" s="172">
        <f>F13*0.22</f>
        <v>2378.5079999999998</v>
      </c>
      <c r="G14" s="172">
        <f>F14</f>
        <v>2378.5079999999998</v>
      </c>
      <c r="H14" s="173"/>
    </row>
    <row r="16" spans="1:8">
      <c r="A16" s="70" t="s">
        <v>12</v>
      </c>
      <c r="B16" s="135"/>
      <c r="C16" s="336"/>
      <c r="D16" s="71"/>
      <c r="E16" s="71"/>
      <c r="F16" s="71"/>
      <c r="G16" s="71"/>
      <c r="H16" s="71"/>
    </row>
    <row r="17" spans="1:9">
      <c r="A17" s="27" t="s">
        <v>219</v>
      </c>
      <c r="B17" s="16">
        <f>VSS!S40</f>
        <v>3</v>
      </c>
      <c r="C17" s="317">
        <v>824.25</v>
      </c>
      <c r="D17" s="169">
        <f>C17*0.3</f>
        <v>247.27499999999998</v>
      </c>
      <c r="E17" s="166">
        <f t="shared" ref="E17:E21" si="6">D17+C17</f>
        <v>1071.5250000000001</v>
      </c>
      <c r="F17" s="170">
        <f t="shared" ref="F17:F21" si="7">C17*B17</f>
        <v>2472.75</v>
      </c>
      <c r="G17" s="168">
        <f t="shared" ref="G17:G21" si="8">E17*B17</f>
        <v>3214.5750000000003</v>
      </c>
      <c r="H17" s="169">
        <f t="shared" ref="H17:H21" si="9">D17*B17</f>
        <v>741.82499999999993</v>
      </c>
      <c r="I17">
        <f>C17*163</f>
        <v>134352.75</v>
      </c>
    </row>
    <row r="18" spans="1:9">
      <c r="A18" s="8" t="s">
        <v>130</v>
      </c>
      <c r="B18" s="60">
        <f>VSS!P40</f>
        <v>7</v>
      </c>
      <c r="C18" s="317">
        <v>636.75</v>
      </c>
      <c r="D18" s="169">
        <f t="shared" ref="D18:D21" si="10">C18*0.3</f>
        <v>191.02500000000001</v>
      </c>
      <c r="E18" s="166">
        <f t="shared" si="6"/>
        <v>827.77499999999998</v>
      </c>
      <c r="F18" s="170">
        <f t="shared" si="7"/>
        <v>4457.25</v>
      </c>
      <c r="G18" s="168">
        <f t="shared" si="8"/>
        <v>5794.4250000000002</v>
      </c>
      <c r="H18" s="169">
        <f t="shared" si="9"/>
        <v>1337.175</v>
      </c>
      <c r="I18">
        <f>C18*163</f>
        <v>103790.25</v>
      </c>
    </row>
    <row r="19" spans="1:9">
      <c r="A19" s="8" t="s">
        <v>220</v>
      </c>
      <c r="B19" s="16">
        <f>VSS!Q40</f>
        <v>2</v>
      </c>
      <c r="C19" s="318">
        <v>749.25</v>
      </c>
      <c r="D19" s="169">
        <f t="shared" si="10"/>
        <v>224.77500000000001</v>
      </c>
      <c r="E19" s="166">
        <f t="shared" si="6"/>
        <v>974.02499999999998</v>
      </c>
      <c r="F19" s="170">
        <f t="shared" si="7"/>
        <v>1498.5</v>
      </c>
      <c r="G19" s="168">
        <f t="shared" si="8"/>
        <v>1948.05</v>
      </c>
      <c r="H19" s="169">
        <f t="shared" si="9"/>
        <v>449.55</v>
      </c>
      <c r="I19">
        <f t="shared" ref="I19:I21" si="11">C19*163</f>
        <v>122127.75</v>
      </c>
    </row>
    <row r="20" spans="1:9">
      <c r="A20" s="8" t="s">
        <v>183</v>
      </c>
      <c r="B20" s="16">
        <v>1</v>
      </c>
      <c r="C20" s="318">
        <v>599</v>
      </c>
      <c r="D20" s="169">
        <f t="shared" si="10"/>
        <v>179.7</v>
      </c>
      <c r="E20" s="166">
        <f t="shared" si="6"/>
        <v>778.7</v>
      </c>
      <c r="F20" s="170">
        <f t="shared" si="7"/>
        <v>599</v>
      </c>
      <c r="G20" s="168">
        <f t="shared" si="8"/>
        <v>778.7</v>
      </c>
      <c r="H20" s="169">
        <f t="shared" si="9"/>
        <v>179.7</v>
      </c>
      <c r="I20">
        <f t="shared" si="11"/>
        <v>97637</v>
      </c>
    </row>
    <row r="21" spans="1:9">
      <c r="A21" s="67" t="s">
        <v>140</v>
      </c>
      <c r="B21" s="16">
        <v>1</v>
      </c>
      <c r="C21" s="339">
        <v>1200</v>
      </c>
      <c r="D21" s="169">
        <f t="shared" si="10"/>
        <v>360</v>
      </c>
      <c r="E21" s="340">
        <f t="shared" si="6"/>
        <v>1560</v>
      </c>
      <c r="F21" s="170">
        <f t="shared" si="7"/>
        <v>1200</v>
      </c>
      <c r="G21" s="168">
        <f t="shared" si="8"/>
        <v>1560</v>
      </c>
      <c r="H21" s="169">
        <f t="shared" si="9"/>
        <v>360</v>
      </c>
      <c r="I21">
        <f t="shared" si="11"/>
        <v>195600</v>
      </c>
    </row>
    <row r="22" spans="1:9">
      <c r="A22" s="15"/>
      <c r="B22" s="18"/>
      <c r="C22" s="319"/>
      <c r="D22" s="320"/>
      <c r="E22" s="321" t="s">
        <v>13</v>
      </c>
      <c r="F22" s="322">
        <f>SUM(F17:F21)</f>
        <v>10227.5</v>
      </c>
      <c r="G22" s="322">
        <f>SUM(G17:G21)</f>
        <v>13295.75</v>
      </c>
      <c r="H22" s="322">
        <f>SUM(H17:H21)</f>
        <v>3068.25</v>
      </c>
    </row>
    <row r="23" spans="1:9">
      <c r="A23" s="15"/>
      <c r="B23" s="18"/>
      <c r="C23" s="319"/>
      <c r="D23" s="19"/>
      <c r="E23" s="22" t="s">
        <v>11</v>
      </c>
      <c r="F23" s="174">
        <f>F22*0.44</f>
        <v>4500.1000000000004</v>
      </c>
      <c r="G23" s="174">
        <f>G22*0.44</f>
        <v>5850.13</v>
      </c>
      <c r="H23" s="175"/>
    </row>
    <row r="24" spans="1:9">
      <c r="A24" s="70" t="s">
        <v>14</v>
      </c>
      <c r="B24" s="135"/>
      <c r="C24" s="336"/>
      <c r="D24" s="71"/>
      <c r="E24" s="71"/>
      <c r="F24" s="71"/>
      <c r="G24" s="71"/>
      <c r="H24" s="71"/>
    </row>
    <row r="25" spans="1:9">
      <c r="A25" s="329" t="s">
        <v>131</v>
      </c>
      <c r="B25" s="16">
        <f>VSS!C40</f>
        <v>1</v>
      </c>
      <c r="C25" s="323">
        <v>591.75</v>
      </c>
      <c r="D25" s="169">
        <f>C25*0.3</f>
        <v>177.52500000000001</v>
      </c>
      <c r="E25" s="166">
        <f>D25+C25</f>
        <v>769.27499999999998</v>
      </c>
      <c r="F25" s="170">
        <f>C25*B25</f>
        <v>591.75</v>
      </c>
      <c r="G25" s="168">
        <f t="shared" ref="G25:G27" si="12">E25*B25</f>
        <v>769.27499999999998</v>
      </c>
      <c r="H25" s="169">
        <f t="shared" ref="H25:H27" si="13">D25*B25</f>
        <v>177.52500000000001</v>
      </c>
      <c r="I25">
        <f>C25*163</f>
        <v>96455.25</v>
      </c>
    </row>
    <row r="26" spans="1:9">
      <c r="A26" s="121" t="s">
        <v>132</v>
      </c>
      <c r="B26" s="16">
        <f>VSS!D40</f>
        <v>3</v>
      </c>
      <c r="C26" s="169">
        <v>359.25</v>
      </c>
      <c r="D26" s="169">
        <f t="shared" ref="D26:D27" si="14">C26*0.3</f>
        <v>107.77499999999999</v>
      </c>
      <c r="E26" s="166">
        <f t="shared" ref="E26:E27" si="15">D26+C26</f>
        <v>467.02499999999998</v>
      </c>
      <c r="F26" s="170">
        <f t="shared" ref="F26:F27" si="16">C26*B26</f>
        <v>1077.75</v>
      </c>
      <c r="G26" s="168">
        <f t="shared" si="12"/>
        <v>1401.0749999999998</v>
      </c>
      <c r="H26" s="169">
        <f t="shared" si="13"/>
        <v>323.32499999999999</v>
      </c>
      <c r="I26">
        <f t="shared" ref="I26:I27" si="17">C26*163</f>
        <v>58557.75</v>
      </c>
    </row>
    <row r="27" spans="1:9">
      <c r="A27" s="67" t="s">
        <v>140</v>
      </c>
      <c r="B27" s="16">
        <v>1</v>
      </c>
      <c r="C27" s="176">
        <v>500</v>
      </c>
      <c r="D27" s="169">
        <f t="shared" si="14"/>
        <v>150</v>
      </c>
      <c r="E27" s="166">
        <f t="shared" si="15"/>
        <v>650</v>
      </c>
      <c r="F27" s="170">
        <f t="shared" si="16"/>
        <v>500</v>
      </c>
      <c r="G27" s="168">
        <f t="shared" si="12"/>
        <v>650</v>
      </c>
      <c r="H27" s="169">
        <f t="shared" si="13"/>
        <v>150</v>
      </c>
      <c r="I27">
        <f t="shared" si="17"/>
        <v>81500</v>
      </c>
    </row>
    <row r="28" spans="1:9" ht="15.75">
      <c r="A28" s="28"/>
      <c r="B28" s="29"/>
      <c r="C28" s="176"/>
      <c r="D28" s="176"/>
      <c r="E28" s="324" t="s">
        <v>9</v>
      </c>
      <c r="F28" s="325">
        <f>SUM(F25:F27)</f>
        <v>2169.5</v>
      </c>
      <c r="G28" s="325">
        <f>SUM(G25:G27)</f>
        <v>2820.35</v>
      </c>
      <c r="H28" s="325">
        <f>SUM(H25:H27)</f>
        <v>650.85</v>
      </c>
    </row>
    <row r="29" spans="1:9" ht="15.75">
      <c r="A29" s="28"/>
      <c r="B29" s="31"/>
      <c r="C29" s="320"/>
      <c r="D29" s="176"/>
      <c r="E29" s="326" t="s">
        <v>11</v>
      </c>
      <c r="F29" s="327">
        <f>F28*0.44</f>
        <v>954.58</v>
      </c>
      <c r="G29" s="327">
        <f>G28*0.44</f>
        <v>1240.954</v>
      </c>
      <c r="H29" s="328"/>
    </row>
    <row r="31" spans="1:9">
      <c r="A31" s="24" t="s">
        <v>15</v>
      </c>
      <c r="B31" s="25"/>
      <c r="C31" s="337"/>
      <c r="D31" s="25"/>
      <c r="E31" s="25"/>
      <c r="F31" s="25"/>
      <c r="G31" s="25"/>
      <c r="H31" s="26"/>
    </row>
    <row r="32" spans="1:9">
      <c r="A32" s="27" t="s">
        <v>248</v>
      </c>
      <c r="B32" s="34">
        <v>6</v>
      </c>
      <c r="C32" s="169">
        <v>200</v>
      </c>
      <c r="D32" s="169">
        <f>C32*0.3</f>
        <v>60</v>
      </c>
      <c r="E32" s="166">
        <f>C32+D32</f>
        <v>260</v>
      </c>
      <c r="F32" s="170">
        <f>C32*B32</f>
        <v>1200</v>
      </c>
      <c r="G32" s="168">
        <f>E32*B32</f>
        <v>1560</v>
      </c>
      <c r="H32" s="169">
        <f>D32*B32</f>
        <v>360</v>
      </c>
      <c r="I32">
        <f>C32*163</f>
        <v>32600</v>
      </c>
    </row>
    <row r="33" spans="1:9">
      <c r="A33" s="27" t="s">
        <v>142</v>
      </c>
      <c r="B33" s="34">
        <v>1</v>
      </c>
      <c r="C33" s="169">
        <v>700</v>
      </c>
      <c r="D33" s="169">
        <f t="shared" ref="D33:D35" si="18">C33*0.3</f>
        <v>210</v>
      </c>
      <c r="E33" s="166">
        <f t="shared" ref="E33:E34" si="19">C33+D33</f>
        <v>910</v>
      </c>
      <c r="F33" s="170">
        <f t="shared" ref="F33:F34" si="20">C33*B33</f>
        <v>700</v>
      </c>
      <c r="G33" s="168">
        <f t="shared" ref="G33:G34" si="21">E33*B33</f>
        <v>910</v>
      </c>
      <c r="H33" s="169">
        <f t="shared" ref="H33:H34" si="22">D33*B33</f>
        <v>210</v>
      </c>
      <c r="I33">
        <f t="shared" ref="I33:I35" si="23">C33*163</f>
        <v>114100</v>
      </c>
    </row>
    <row r="34" spans="1:9">
      <c r="A34" s="27" t="s">
        <v>145</v>
      </c>
      <c r="B34" s="34">
        <v>1</v>
      </c>
      <c r="C34" s="169">
        <v>500</v>
      </c>
      <c r="D34" s="169">
        <f t="shared" si="18"/>
        <v>150</v>
      </c>
      <c r="E34" s="166">
        <f t="shared" si="19"/>
        <v>650</v>
      </c>
      <c r="F34" s="170">
        <f t="shared" si="20"/>
        <v>500</v>
      </c>
      <c r="G34" s="168">
        <f t="shared" si="21"/>
        <v>650</v>
      </c>
      <c r="H34" s="169">
        <f t="shared" si="22"/>
        <v>150</v>
      </c>
      <c r="I34">
        <f t="shared" si="23"/>
        <v>81500</v>
      </c>
    </row>
    <row r="35" spans="1:9">
      <c r="A35" s="27" t="s">
        <v>146</v>
      </c>
      <c r="B35" s="34">
        <v>13</v>
      </c>
      <c r="C35" s="169">
        <v>45</v>
      </c>
      <c r="D35" s="169">
        <f t="shared" si="18"/>
        <v>13.5</v>
      </c>
      <c r="E35" s="166">
        <f t="shared" ref="E35" si="24">C35+D35</f>
        <v>58.5</v>
      </c>
      <c r="F35" s="170">
        <f t="shared" ref="F35" si="25">C35*B35</f>
        <v>585</v>
      </c>
      <c r="G35" s="168">
        <f t="shared" ref="G35" si="26">E35*B35</f>
        <v>760.5</v>
      </c>
      <c r="H35" s="169">
        <f t="shared" ref="H35" si="27">D35*B35</f>
        <v>175.5</v>
      </c>
      <c r="I35">
        <f t="shared" si="23"/>
        <v>7335</v>
      </c>
    </row>
    <row r="36" spans="1:9">
      <c r="A36" s="28"/>
      <c r="B36" s="29"/>
      <c r="C36" s="176"/>
      <c r="D36" s="176"/>
      <c r="E36" s="176"/>
      <c r="F36" s="177">
        <f>SUM(F32:F35)</f>
        <v>2985</v>
      </c>
      <c r="G36" s="177">
        <f>SUM(G32:G35)</f>
        <v>3880.5</v>
      </c>
      <c r="H36" s="177">
        <f>SUM(H32:H35)</f>
        <v>895.5</v>
      </c>
    </row>
    <row r="37" spans="1:9" ht="15.75">
      <c r="A37" s="28"/>
      <c r="B37" s="31"/>
      <c r="C37" s="320"/>
      <c r="D37" s="30"/>
      <c r="E37" s="326" t="s">
        <v>11</v>
      </c>
      <c r="F37" s="327">
        <f>F32*0.44</f>
        <v>528</v>
      </c>
      <c r="G37" s="327">
        <f>G32*0.44</f>
        <v>686.4</v>
      </c>
      <c r="H37" s="32"/>
    </row>
    <row r="38" spans="1:9">
      <c r="A38" s="24" t="s">
        <v>16</v>
      </c>
      <c r="B38" s="25"/>
      <c r="C38" s="337"/>
      <c r="D38" s="25"/>
      <c r="E38" s="25"/>
      <c r="F38" s="25"/>
      <c r="G38" s="25"/>
      <c r="H38" s="26"/>
    </row>
    <row r="39" spans="1:9">
      <c r="A39" s="27" t="s">
        <v>17</v>
      </c>
      <c r="B39" s="16">
        <f>B26+B25+B19+B18+B17+B11+B10</f>
        <v>18</v>
      </c>
      <c r="C39" s="169">
        <v>100</v>
      </c>
      <c r="D39" s="169">
        <f t="shared" ref="D39:D41" si="28">C39*50%</f>
        <v>50</v>
      </c>
      <c r="E39" s="166">
        <f t="shared" ref="E39:E42" si="29">D39+C39</f>
        <v>150</v>
      </c>
      <c r="F39" s="170">
        <f t="shared" ref="F39:F42" si="30">C39*B39</f>
        <v>1800</v>
      </c>
      <c r="G39" s="168">
        <f t="shared" ref="G39:G42" si="31">E39*B39</f>
        <v>2700</v>
      </c>
      <c r="H39" s="169">
        <f t="shared" ref="H39:H42" si="32">D39*B39</f>
        <v>900</v>
      </c>
      <c r="I39">
        <f>C39*163</f>
        <v>16300</v>
      </c>
    </row>
    <row r="40" spans="1:9">
      <c r="A40" s="27" t="s">
        <v>18</v>
      </c>
      <c r="B40" s="16">
        <v>12</v>
      </c>
      <c r="C40" s="169">
        <v>25</v>
      </c>
      <c r="D40" s="169">
        <f t="shared" si="28"/>
        <v>12.5</v>
      </c>
      <c r="E40" s="166">
        <f t="shared" si="29"/>
        <v>37.5</v>
      </c>
      <c r="F40" s="170">
        <f t="shared" si="30"/>
        <v>300</v>
      </c>
      <c r="G40" s="168">
        <f t="shared" si="31"/>
        <v>450</v>
      </c>
      <c r="H40" s="169">
        <f t="shared" si="32"/>
        <v>150</v>
      </c>
      <c r="I40">
        <f t="shared" ref="I40:I42" si="33">C40*163</f>
        <v>4075</v>
      </c>
    </row>
    <row r="41" spans="1:9">
      <c r="A41" s="27" t="s">
        <v>225</v>
      </c>
      <c r="B41" s="16">
        <v>1</v>
      </c>
      <c r="C41" s="169">
        <v>1688.25595</v>
      </c>
      <c r="D41" s="169">
        <f t="shared" si="28"/>
        <v>844.12797499999999</v>
      </c>
      <c r="E41" s="166">
        <f t="shared" si="29"/>
        <v>2532.3839250000001</v>
      </c>
      <c r="F41" s="170">
        <f t="shared" si="30"/>
        <v>1688.25595</v>
      </c>
      <c r="G41" s="168">
        <f t="shared" si="31"/>
        <v>2532.3839250000001</v>
      </c>
      <c r="H41" s="169">
        <f t="shared" si="32"/>
        <v>844.12797499999999</v>
      </c>
      <c r="I41">
        <f t="shared" si="33"/>
        <v>275185.71984999999</v>
      </c>
    </row>
    <row r="42" spans="1:9">
      <c r="A42" s="27" t="s">
        <v>80</v>
      </c>
      <c r="B42" s="16">
        <v>0</v>
      </c>
      <c r="C42" s="169">
        <v>3629.7502925000003</v>
      </c>
      <c r="D42" s="169"/>
      <c r="E42" s="166">
        <f t="shared" si="29"/>
        <v>3629.7502925000003</v>
      </c>
      <c r="F42" s="170">
        <f t="shared" si="30"/>
        <v>0</v>
      </c>
      <c r="G42" s="168">
        <f t="shared" si="31"/>
        <v>0</v>
      </c>
      <c r="H42" s="169">
        <f t="shared" si="32"/>
        <v>0</v>
      </c>
      <c r="I42">
        <f t="shared" si="33"/>
        <v>591649.29767750006</v>
      </c>
    </row>
    <row r="43" spans="1:9">
      <c r="A43" s="36"/>
      <c r="B43" s="37"/>
      <c r="C43" s="23"/>
      <c r="D43" s="178"/>
      <c r="E43" s="179" t="s">
        <v>9</v>
      </c>
      <c r="F43" s="358">
        <f>SUM(F39:F42)</f>
        <v>3788.2559499999998</v>
      </c>
      <c r="G43" s="358">
        <f>SUM(G39:G42)</f>
        <v>5682.3839250000001</v>
      </c>
      <c r="H43" s="180">
        <f>SUM(H39:H42)</f>
        <v>1894.1279749999999</v>
      </c>
    </row>
    <row r="45" spans="1:9">
      <c r="E45" s="35" t="s">
        <v>19</v>
      </c>
      <c r="F45" s="181">
        <f>F43+F36+F28+F22+F13+F7</f>
        <v>31847.175950000001</v>
      </c>
      <c r="G45" s="181">
        <f>G43+G36+G28+G22+G13+G7</f>
        <v>42979.377925000001</v>
      </c>
      <c r="H45" s="181">
        <f>H43+H36+H28+H22+H13+H7</f>
        <v>11132.201975</v>
      </c>
    </row>
    <row r="46" spans="1:9">
      <c r="E46" s="35" t="s">
        <v>20</v>
      </c>
      <c r="F46" s="182">
        <f>F29+F23+F14</f>
        <v>7833.1880000000001</v>
      </c>
      <c r="G46" s="182">
        <v>7678.1759999999995</v>
      </c>
      <c r="H46" s="182"/>
    </row>
    <row r="47" spans="1:9">
      <c r="E47" s="35" t="s">
        <v>9</v>
      </c>
      <c r="F47" s="183">
        <f>SUM(F45:F46)</f>
        <v>39680.363949999999</v>
      </c>
      <c r="G47" s="183">
        <f>SUM(G45:G46)</f>
        <v>50657.553925</v>
      </c>
      <c r="H47" s="183"/>
    </row>
    <row r="48" spans="1:9">
      <c r="C48" s="142">
        <f>C27+C21+C12</f>
        <v>4200</v>
      </c>
      <c r="D48">
        <f>C48*163</f>
        <v>684600</v>
      </c>
      <c r="E48" s="35" t="s">
        <v>21</v>
      </c>
      <c r="F48" s="184">
        <f>(F46+F45)*15%</f>
        <v>5952.0545924999997</v>
      </c>
      <c r="G48" s="184">
        <f>(G46+G45)*15%</f>
        <v>7598.6330887499998</v>
      </c>
      <c r="H48" s="184"/>
    </row>
    <row r="49" spans="3:8">
      <c r="C49" s="142">
        <f>E27+E12+E21</f>
        <v>5585</v>
      </c>
      <c r="E49" s="35" t="s">
        <v>22</v>
      </c>
      <c r="F49" s="183">
        <f>SUM(F47:F48)</f>
        <v>45632.418542499996</v>
      </c>
      <c r="G49" s="183">
        <f>SUM(G47:G48)</f>
        <v>58256.187013750001</v>
      </c>
      <c r="H49" s="183">
        <f>H45</f>
        <v>11132.201975</v>
      </c>
    </row>
    <row r="51" spans="3:8">
      <c r="G51" s="142">
        <f>G49*163</f>
        <v>9495758.4832412507</v>
      </c>
      <c r="H51" s="359">
        <f>(H49+'Workbook EAC'!H68)*163</f>
        <v>3183927.8327624998</v>
      </c>
    </row>
    <row r="52" spans="3:8">
      <c r="D52" s="132" t="s">
        <v>225</v>
      </c>
      <c r="E52" s="131">
        <f>G47*0.05</f>
        <v>2532.8776962500001</v>
      </c>
    </row>
    <row r="53" spans="3:8">
      <c r="D53" s="361" t="s">
        <v>80</v>
      </c>
      <c r="E53" s="131">
        <f>G47*0.1</f>
        <v>5065.7553925000002</v>
      </c>
    </row>
    <row r="54" spans="3:8">
      <c r="G54" s="35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DDE2-5A21-42F5-96E7-5835410E3A27}">
  <dimension ref="A1:F46"/>
  <sheetViews>
    <sheetView topLeftCell="A23" workbookViewId="0">
      <selection activeCell="B28" sqref="B28:B30"/>
    </sheetView>
  </sheetViews>
  <sheetFormatPr defaultRowHeight="15"/>
  <cols>
    <col min="1" max="1" width="9.140625" style="33"/>
    <col min="2" max="2" width="56.140625" style="33" customWidth="1"/>
    <col min="3" max="3" width="11.85546875" style="33" customWidth="1"/>
    <col min="4" max="4" width="5.5703125" style="206" customWidth="1"/>
    <col min="5" max="5" width="16.85546875" style="33" customWidth="1"/>
  </cols>
  <sheetData>
    <row r="1" spans="1:6" ht="33.75" customHeight="1">
      <c r="A1" s="377" t="s">
        <v>182</v>
      </c>
      <c r="B1" s="377"/>
      <c r="C1" s="377"/>
      <c r="D1" s="377"/>
      <c r="E1" s="377"/>
    </row>
    <row r="2" spans="1:6" ht="23.25" customHeight="1">
      <c r="A2" s="378" t="s">
        <v>245</v>
      </c>
      <c r="B2" s="378"/>
      <c r="C2" s="378"/>
      <c r="D2" s="378"/>
      <c r="E2" s="378"/>
    </row>
    <row r="3" spans="1:6">
      <c r="A3" s="38" t="s">
        <v>23</v>
      </c>
      <c r="B3" s="38" t="s">
        <v>24</v>
      </c>
      <c r="C3" s="39" t="s">
        <v>25</v>
      </c>
      <c r="D3" s="99" t="s">
        <v>1</v>
      </c>
      <c r="E3" s="39" t="s">
        <v>26</v>
      </c>
    </row>
    <row r="4" spans="1:6">
      <c r="A4" s="350">
        <v>100</v>
      </c>
      <c r="B4" s="40" t="s">
        <v>27</v>
      </c>
      <c r="C4" s="41"/>
      <c r="D4" s="202"/>
      <c r="E4" s="43"/>
    </row>
    <row r="5" spans="1:6" ht="18.75" customHeight="1">
      <c r="A5" s="104">
        <v>100.10000000000001</v>
      </c>
      <c r="B5" s="44" t="s">
        <v>137</v>
      </c>
      <c r="C5" s="185">
        <f>'Workbook VSS'!E3*163</f>
        <v>184842</v>
      </c>
      <c r="D5" s="203">
        <v>0</v>
      </c>
      <c r="E5" s="187">
        <f>C5*D5</f>
        <v>0</v>
      </c>
    </row>
    <row r="6" spans="1:6" ht="18.75" customHeight="1">
      <c r="A6" s="104">
        <v>100.2</v>
      </c>
      <c r="B6" s="44" t="s">
        <v>138</v>
      </c>
      <c r="C6" s="185">
        <f>'Workbook VSS'!E4*163</f>
        <v>35736.119999999995</v>
      </c>
      <c r="D6" s="203">
        <v>0</v>
      </c>
      <c r="E6" s="187">
        <f t="shared" ref="E6:E8" si="0">C6*D6</f>
        <v>0</v>
      </c>
    </row>
    <row r="7" spans="1:6" ht="18.75" customHeight="1">
      <c r="A7" s="104">
        <v>100.30000000000001</v>
      </c>
      <c r="B7" s="44" t="s">
        <v>244</v>
      </c>
      <c r="C7" s="185">
        <f>'Workbook VSS'!E5*163</f>
        <v>30489.15</v>
      </c>
      <c r="D7" s="203">
        <f>'Workbook VSS'!B5</f>
        <v>12</v>
      </c>
      <c r="E7" s="187">
        <f t="shared" si="0"/>
        <v>365869.80000000005</v>
      </c>
      <c r="F7">
        <v>30489.15</v>
      </c>
    </row>
    <row r="8" spans="1:6" ht="18.75" customHeight="1">
      <c r="A8" s="104">
        <v>100.4</v>
      </c>
      <c r="B8" s="44" t="s">
        <v>139</v>
      </c>
      <c r="C8" s="185">
        <f>'Workbook VSS'!E6*163</f>
        <v>6253.8209999999999</v>
      </c>
      <c r="D8" s="203">
        <f>D7</f>
        <v>12</v>
      </c>
      <c r="E8" s="187">
        <f t="shared" si="0"/>
        <v>75045.851999999999</v>
      </c>
      <c r="F8">
        <v>6253.8209999999999</v>
      </c>
    </row>
    <row r="9" spans="1:6" ht="18.75" customHeight="1">
      <c r="A9" s="388"/>
      <c r="B9" s="473"/>
      <c r="C9" s="471" t="s">
        <v>83</v>
      </c>
      <c r="D9" s="472"/>
      <c r="E9" s="188">
        <f>SUM(E5:E8)</f>
        <v>440915.65200000006</v>
      </c>
    </row>
    <row r="10" spans="1:6" ht="18.75" customHeight="1">
      <c r="A10" s="350">
        <v>200</v>
      </c>
      <c r="B10" s="40" t="s">
        <v>28</v>
      </c>
      <c r="C10" s="189"/>
      <c r="D10" s="202"/>
      <c r="E10" s="189"/>
    </row>
    <row r="11" spans="1:6" ht="56.25" customHeight="1">
      <c r="A11" s="104">
        <v>200.10000000000002</v>
      </c>
      <c r="B11" s="44" t="s">
        <v>243</v>
      </c>
      <c r="C11" s="185">
        <f>'Workbook VSS'!E10*163</f>
        <v>1418442.3</v>
      </c>
      <c r="D11" s="203">
        <f>'Workbook VSS'!B10</f>
        <v>1</v>
      </c>
      <c r="E11" s="187">
        <f>C11*D11</f>
        <v>1418442.3</v>
      </c>
      <c r="F11">
        <v>1418442.3</v>
      </c>
    </row>
    <row r="12" spans="1:6" ht="18.75" customHeight="1">
      <c r="A12" s="469"/>
      <c r="B12" s="470"/>
      <c r="C12" s="379" t="s">
        <v>84</v>
      </c>
      <c r="D12" s="380"/>
      <c r="E12" s="192">
        <f>SUM(E11:E11)</f>
        <v>1418442.3</v>
      </c>
    </row>
    <row r="13" spans="1:6" ht="18.75" customHeight="1">
      <c r="A13" s="349">
        <v>300</v>
      </c>
      <c r="B13" s="40" t="s">
        <v>29</v>
      </c>
      <c r="C13" s="189"/>
      <c r="D13" s="202"/>
      <c r="E13" s="190"/>
    </row>
    <row r="14" spans="1:6" ht="55.5" customHeight="1">
      <c r="A14" s="108">
        <v>300.10000000000002</v>
      </c>
      <c r="B14" s="44" t="s">
        <v>247</v>
      </c>
      <c r="C14" s="191">
        <f>'Workbook VSS'!E11*163</f>
        <v>410481.27</v>
      </c>
      <c r="D14" s="204">
        <f>'Workbook VSS'!B11</f>
        <v>1</v>
      </c>
      <c r="E14" s="185">
        <f>C14*D14</f>
        <v>410481.27</v>
      </c>
      <c r="F14">
        <v>410481.27</v>
      </c>
    </row>
    <row r="15" spans="1:6" ht="42.75" customHeight="1">
      <c r="A15" s="108">
        <v>300.2</v>
      </c>
      <c r="B15" s="44" t="s">
        <v>147</v>
      </c>
      <c r="C15" s="191">
        <f>'Workbook VSS'!E12*163</f>
        <v>550125</v>
      </c>
      <c r="D15" s="204">
        <f>'Workbook VSS'!B20</f>
        <v>1</v>
      </c>
      <c r="E15" s="185">
        <f t="shared" ref="E15" si="1">C15*D15</f>
        <v>550125</v>
      </c>
      <c r="F15">
        <v>550125</v>
      </c>
    </row>
    <row r="16" spans="1:6" ht="18.75" customHeight="1">
      <c r="A16" s="469"/>
      <c r="B16" s="470"/>
      <c r="C16" s="379" t="s">
        <v>19</v>
      </c>
      <c r="D16" s="380"/>
      <c r="E16" s="188">
        <f>SUM(E14:E15)</f>
        <v>960606.27</v>
      </c>
    </row>
    <row r="17" spans="1:6" ht="18.75" customHeight="1">
      <c r="A17" s="100">
        <v>400</v>
      </c>
      <c r="B17" s="40" t="s">
        <v>30</v>
      </c>
      <c r="C17" s="189"/>
      <c r="D17" s="202"/>
      <c r="E17" s="190"/>
    </row>
    <row r="18" spans="1:6" ht="82.5" customHeight="1">
      <c r="A18" s="102">
        <v>400.1</v>
      </c>
      <c r="B18" s="44" t="s">
        <v>221</v>
      </c>
      <c r="C18" s="185">
        <f>'Workbook VSS'!E17*163</f>
        <v>174658.57500000001</v>
      </c>
      <c r="D18" s="203">
        <f>'Workbook VSS'!B17</f>
        <v>3</v>
      </c>
      <c r="E18" s="187">
        <f t="shared" ref="E18:E20" si="2">C18*D18</f>
        <v>523975.72500000003</v>
      </c>
      <c r="F18">
        <v>174658.57500000001</v>
      </c>
    </row>
    <row r="19" spans="1:6" ht="80.25" customHeight="1">
      <c r="A19" s="102">
        <v>400.20000000000005</v>
      </c>
      <c r="B19" s="44" t="s">
        <v>222</v>
      </c>
      <c r="C19" s="185">
        <f>'Workbook VSS'!E18*163</f>
        <v>134927.32499999998</v>
      </c>
      <c r="D19" s="203">
        <f>'Workbook VSS'!B18</f>
        <v>7</v>
      </c>
      <c r="E19" s="187">
        <f t="shared" si="2"/>
        <v>944491.27499999991</v>
      </c>
      <c r="F19">
        <v>134927.32500000001</v>
      </c>
    </row>
    <row r="20" spans="1:6" ht="80.25" customHeight="1">
      <c r="A20" s="102">
        <v>400.3</v>
      </c>
      <c r="B20" s="44" t="s">
        <v>223</v>
      </c>
      <c r="C20" s="185">
        <f>'Workbook VSS'!E19*163</f>
        <v>158766.07499999998</v>
      </c>
      <c r="D20" s="203">
        <f>'Workbook VSS'!B19</f>
        <v>2</v>
      </c>
      <c r="E20" s="187">
        <f t="shared" si="2"/>
        <v>317532.14999999997</v>
      </c>
      <c r="F20">
        <v>158766.07500000001</v>
      </c>
    </row>
    <row r="21" spans="1:6" ht="18.75" customHeight="1">
      <c r="A21" s="469"/>
      <c r="B21" s="474"/>
      <c r="C21" s="467" t="s">
        <v>85</v>
      </c>
      <c r="D21" s="468"/>
      <c r="E21" s="193">
        <f>SUM(E18:E20)</f>
        <v>1785999.15</v>
      </c>
    </row>
    <row r="22" spans="1:6" ht="18.75" customHeight="1">
      <c r="A22" s="100">
        <v>500</v>
      </c>
      <c r="B22" s="40" t="s">
        <v>14</v>
      </c>
      <c r="C22" s="189"/>
      <c r="D22" s="202"/>
      <c r="E22" s="190"/>
    </row>
    <row r="23" spans="1:6" ht="66" customHeight="1">
      <c r="A23" s="102">
        <v>500.1</v>
      </c>
      <c r="B23" s="44" t="s">
        <v>235</v>
      </c>
      <c r="C23" s="185">
        <f>'Workbook VSS'!E25*163</f>
        <v>125391.825</v>
      </c>
      <c r="D23" s="203">
        <f>'Workbook VSS'!B25</f>
        <v>1</v>
      </c>
      <c r="E23" s="187">
        <f>C23*D23</f>
        <v>125391.825</v>
      </c>
      <c r="F23">
        <v>125391.825</v>
      </c>
    </row>
    <row r="24" spans="1:6" ht="65.25" customHeight="1">
      <c r="A24" s="102">
        <v>500.20000000000005</v>
      </c>
      <c r="B24" s="46" t="s">
        <v>234</v>
      </c>
      <c r="C24" s="185">
        <f>'Workbook VSS'!E26*163</f>
        <v>76125.074999999997</v>
      </c>
      <c r="D24" s="203">
        <f>'Workbook VSS'!B26</f>
        <v>3</v>
      </c>
      <c r="E24" s="187">
        <f t="shared" ref="E24" si="3">C24*D24</f>
        <v>228375.22499999998</v>
      </c>
      <c r="F24">
        <v>76125.074999999997</v>
      </c>
    </row>
    <row r="25" spans="1:6" ht="18.75" customHeight="1">
      <c r="A25" s="469"/>
      <c r="B25" s="470"/>
      <c r="C25" s="379" t="s">
        <v>86</v>
      </c>
      <c r="D25" s="380"/>
      <c r="E25" s="188">
        <f>SUM(E23:E24)</f>
        <v>353767.05</v>
      </c>
    </row>
    <row r="26" spans="1:6" ht="18.75" customHeight="1">
      <c r="A26" s="100">
        <v>600</v>
      </c>
      <c r="B26" s="40" t="s">
        <v>15</v>
      </c>
      <c r="C26" s="189"/>
      <c r="D26" s="202"/>
      <c r="E26" s="189"/>
    </row>
    <row r="27" spans="1:6" ht="42" customHeight="1">
      <c r="A27" s="102">
        <v>600.1</v>
      </c>
      <c r="B27" s="44" t="s">
        <v>141</v>
      </c>
      <c r="C27" s="185">
        <f>'Workbook VSS'!E32*163</f>
        <v>42380</v>
      </c>
      <c r="D27" s="203">
        <f>'Workbook VSS'!B32</f>
        <v>6</v>
      </c>
      <c r="E27" s="187">
        <f>C27*D27</f>
        <v>254280</v>
      </c>
      <c r="F27">
        <v>42380</v>
      </c>
    </row>
    <row r="28" spans="1:6" ht="18.75" customHeight="1">
      <c r="A28" s="102">
        <v>600.20000000000005</v>
      </c>
      <c r="B28" s="44" t="s">
        <v>142</v>
      </c>
      <c r="C28" s="185">
        <f>'Workbook VSS'!E33*163</f>
        <v>148330</v>
      </c>
      <c r="D28" s="203">
        <f>'Workbook VSS'!B33</f>
        <v>1</v>
      </c>
      <c r="E28" s="187">
        <f t="shared" ref="E28:E30" si="4">C28*D28</f>
        <v>148330</v>
      </c>
    </row>
    <row r="29" spans="1:6" ht="18.75" customHeight="1">
      <c r="A29" s="102">
        <v>600.30000000000007</v>
      </c>
      <c r="B29" s="44" t="s">
        <v>144</v>
      </c>
      <c r="C29" s="185">
        <f>'Workbook VSS'!E34*163</f>
        <v>105950</v>
      </c>
      <c r="D29" s="203">
        <f>'Workbook VSS'!B34</f>
        <v>1</v>
      </c>
      <c r="E29" s="187">
        <f t="shared" si="4"/>
        <v>105950</v>
      </c>
    </row>
    <row r="30" spans="1:6" ht="18.75" customHeight="1">
      <c r="A30" s="102">
        <v>600.4</v>
      </c>
      <c r="B30" s="44" t="s">
        <v>143</v>
      </c>
      <c r="C30" s="185">
        <f>'Workbook VSS'!E35*163</f>
        <v>9535.5</v>
      </c>
      <c r="D30" s="203">
        <f>'Workbook VSS'!B35</f>
        <v>13</v>
      </c>
      <c r="E30" s="187">
        <f t="shared" si="4"/>
        <v>123961.5</v>
      </c>
    </row>
    <row r="31" spans="1:6" ht="18.75" customHeight="1">
      <c r="A31" s="469"/>
      <c r="B31" s="470"/>
      <c r="C31" s="390" t="s">
        <v>87</v>
      </c>
      <c r="D31" s="390"/>
      <c r="E31" s="188">
        <f>SUM(E27:E30)</f>
        <v>632521.5</v>
      </c>
    </row>
    <row r="32" spans="1:6" ht="18.75" customHeight="1">
      <c r="A32" s="100">
        <v>700</v>
      </c>
      <c r="B32" s="40" t="s">
        <v>31</v>
      </c>
      <c r="C32" s="189"/>
      <c r="D32" s="202"/>
      <c r="E32" s="189"/>
    </row>
    <row r="33" spans="1:5" ht="27.75" customHeight="1">
      <c r="A33" s="102">
        <v>700.1</v>
      </c>
      <c r="B33" s="46" t="s">
        <v>148</v>
      </c>
      <c r="C33" s="187">
        <f>'Workbook VSS'!E39*163</f>
        <v>24450</v>
      </c>
      <c r="D33" s="205">
        <f>'Workbook VSS'!B39</f>
        <v>18</v>
      </c>
      <c r="E33" s="187">
        <f>C33*D33</f>
        <v>440100</v>
      </c>
    </row>
    <row r="34" spans="1:5" ht="30" customHeight="1">
      <c r="A34" s="102">
        <v>700.30000000000007</v>
      </c>
      <c r="B34" s="46" t="s">
        <v>150</v>
      </c>
      <c r="C34" s="187">
        <f>'Workbook VSS'!E40*163</f>
        <v>6112.5</v>
      </c>
      <c r="D34" s="205">
        <f>'Workbook VSS'!B40</f>
        <v>12</v>
      </c>
      <c r="E34" s="187">
        <f t="shared" ref="E34:E35" si="5">C34*D34</f>
        <v>73350</v>
      </c>
    </row>
    <row r="35" spans="1:5" ht="17.25" customHeight="1">
      <c r="A35" s="102">
        <v>700.4</v>
      </c>
      <c r="B35" s="360" t="s">
        <v>232</v>
      </c>
      <c r="C35" s="187">
        <f>'Workbook VSS'!E41*163</f>
        <v>412778.57977499999</v>
      </c>
      <c r="D35" s="205">
        <f>'Workbook VSS'!B41</f>
        <v>1</v>
      </c>
      <c r="E35" s="187">
        <f t="shared" si="5"/>
        <v>412778.57977499999</v>
      </c>
    </row>
    <row r="36" spans="1:5" ht="18.75" customHeight="1">
      <c r="A36" s="469"/>
      <c r="B36" s="470"/>
      <c r="C36" s="390" t="s">
        <v>19</v>
      </c>
      <c r="D36" s="390"/>
      <c r="E36" s="194">
        <f>SUM(E33:E35)</f>
        <v>926228.57977499999</v>
      </c>
    </row>
    <row r="37" spans="1:5" ht="17.25" customHeight="1">
      <c r="A37" s="109">
        <v>700.5</v>
      </c>
      <c r="B37" s="46" t="s">
        <v>80</v>
      </c>
      <c r="C37" s="187">
        <f>'Workbook VSS'!E42*163</f>
        <v>591649.29767750006</v>
      </c>
      <c r="D37" s="205">
        <f>'Workbook VSS'!B42</f>
        <v>0</v>
      </c>
      <c r="E37" s="187">
        <f t="shared" ref="E37" si="6">C37*D37</f>
        <v>0</v>
      </c>
    </row>
    <row r="38" spans="1:5" ht="18.75" customHeight="1">
      <c r="A38" s="469"/>
      <c r="B38" s="470"/>
      <c r="C38" s="390" t="s">
        <v>19</v>
      </c>
      <c r="D38" s="390"/>
      <c r="E38" s="188">
        <f>E37</f>
        <v>0</v>
      </c>
    </row>
    <row r="39" spans="1:5" ht="18.75" customHeight="1">
      <c r="A39" s="331">
        <v>800</v>
      </c>
      <c r="B39" s="40" t="s">
        <v>20</v>
      </c>
      <c r="C39" s="189"/>
      <c r="D39" s="202"/>
      <c r="E39" s="189"/>
    </row>
    <row r="40" spans="1:5" ht="18.75" customHeight="1">
      <c r="A40" s="102">
        <v>800.1</v>
      </c>
      <c r="B40" s="46" t="s">
        <v>151</v>
      </c>
      <c r="C40" s="187">
        <f>('Workbook VSS'!G27+'Workbook VSS'!G21+'Workbook VSS'!G12)*163</f>
        <v>910355</v>
      </c>
      <c r="D40" s="203">
        <v>1</v>
      </c>
      <c r="E40" s="187">
        <f>C40*D40</f>
        <v>910355</v>
      </c>
    </row>
    <row r="41" spans="1:5" ht="28.5" customHeight="1">
      <c r="A41" s="102">
        <v>800.2</v>
      </c>
      <c r="B41" s="46" t="s">
        <v>152</v>
      </c>
      <c r="C41" s="187">
        <f>'Workbook VSS'!G46*163</f>
        <v>1251542.6879999998</v>
      </c>
      <c r="D41" s="203">
        <v>1</v>
      </c>
      <c r="E41" s="187">
        <f>C41*D41</f>
        <v>1251542.6879999998</v>
      </c>
    </row>
    <row r="42" spans="1:5" ht="18.75" customHeight="1">
      <c r="A42" s="469"/>
      <c r="B42" s="474"/>
      <c r="C42" s="390" t="s">
        <v>19</v>
      </c>
      <c r="D42" s="390"/>
      <c r="E42" s="188">
        <f>SUM(E40:E41)</f>
        <v>2161897.6880000001</v>
      </c>
    </row>
    <row r="44" spans="1:5" ht="15.75">
      <c r="A44" s="382"/>
      <c r="B44" s="383"/>
      <c r="C44" s="391" t="s">
        <v>19</v>
      </c>
      <c r="D44" s="391"/>
      <c r="E44" s="197">
        <f>E42+E38+E36+E31+E25+E16+E21+E12+E9</f>
        <v>8680378.1897749994</v>
      </c>
    </row>
    <row r="45" spans="1:5" ht="15.75">
      <c r="A45" s="384"/>
      <c r="B45" s="385"/>
      <c r="C45" s="381" t="s">
        <v>21</v>
      </c>
      <c r="D45" s="381"/>
      <c r="E45" s="198">
        <f>E44*15%</f>
        <v>1302056.7284662498</v>
      </c>
    </row>
    <row r="46" spans="1:5" ht="15.75">
      <c r="A46" s="386"/>
      <c r="B46" s="387"/>
      <c r="C46" s="381" t="s">
        <v>13</v>
      </c>
      <c r="D46" s="381"/>
      <c r="E46" s="199">
        <f>E44+E45</f>
        <v>9982434.9182412494</v>
      </c>
    </row>
  </sheetData>
  <mergeCells count="24">
    <mergeCell ref="A25:B25"/>
    <mergeCell ref="A31:B31"/>
    <mergeCell ref="A38:B38"/>
    <mergeCell ref="A42:B42"/>
    <mergeCell ref="C45:D45"/>
    <mergeCell ref="A44:B46"/>
    <mergeCell ref="A36:B36"/>
    <mergeCell ref="C46:D46"/>
    <mergeCell ref="C25:D25"/>
    <mergeCell ref="C38:D38"/>
    <mergeCell ref="C42:D42"/>
    <mergeCell ref="C44:D44"/>
    <mergeCell ref="C31:D31"/>
    <mergeCell ref="C36:D36"/>
    <mergeCell ref="C21:D21"/>
    <mergeCell ref="A12:B12"/>
    <mergeCell ref="A1:E1"/>
    <mergeCell ref="A2:E2"/>
    <mergeCell ref="C9:D9"/>
    <mergeCell ref="C12:D12"/>
    <mergeCell ref="C16:D16"/>
    <mergeCell ref="A9:B9"/>
    <mergeCell ref="A16:B16"/>
    <mergeCell ref="A21:B21"/>
  </mergeCells>
  <pageMargins left="0.3125" right="0.34375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CFCF-B502-4AB4-A654-911CC0C327A4}">
  <sheetPr>
    <pageSetUpPr autoPageBreaks="0"/>
  </sheetPr>
  <dimension ref="A1:V55"/>
  <sheetViews>
    <sheetView zoomScaleNormal="100" workbookViewId="0">
      <pane ySplit="2820" topLeftCell="A31" activePane="bottomLeft"/>
      <selection activeCell="L14" sqref="L14:O14"/>
      <selection pane="bottomLeft" activeCell="K56" sqref="K56"/>
    </sheetView>
  </sheetViews>
  <sheetFormatPr defaultColWidth="8.85546875" defaultRowHeight="15"/>
  <cols>
    <col min="1" max="1" width="32.140625" customWidth="1"/>
    <col min="2" max="2" width="23.85546875" customWidth="1"/>
    <col min="3" max="3" width="29.140625" customWidth="1"/>
    <col min="4" max="4" width="7.140625" customWidth="1"/>
    <col min="5" max="5" width="4.5703125" style="65" customWidth="1"/>
    <col min="6" max="6" width="5.42578125" customWidth="1"/>
    <col min="7" max="7" width="4.5703125" style="65" customWidth="1"/>
    <col min="8" max="8" width="6.28515625" style="65" customWidth="1"/>
    <col min="9" max="9" width="4.85546875" style="65" customWidth="1"/>
    <col min="10" max="10" width="8.140625" style="65" customWidth="1"/>
    <col min="11" max="11" width="4.140625" style="65" customWidth="1"/>
    <col min="12" max="12" width="5.140625" style="65" customWidth="1"/>
    <col min="13" max="13" width="4.28515625" style="65" customWidth="1"/>
    <col min="14" max="14" width="6.28515625" style="65" customWidth="1"/>
    <col min="15" max="15" width="7" style="65" customWidth="1"/>
    <col min="16" max="16" width="7.28515625" style="65" customWidth="1"/>
    <col min="17" max="17" width="8.7109375" style="65" customWidth="1"/>
    <col min="18" max="18" width="7.140625" style="65" customWidth="1"/>
    <col min="19" max="19" width="4.7109375" style="65" customWidth="1"/>
    <col min="20" max="20" width="5.7109375" style="65" customWidth="1"/>
    <col min="21" max="21" width="19.85546875" style="65" customWidth="1"/>
    <col min="22" max="22" width="63.5703125" customWidth="1"/>
  </cols>
  <sheetData>
    <row r="1" spans="1:22" ht="15.75">
      <c r="A1" s="285" t="s">
        <v>32</v>
      </c>
      <c r="B1" s="477" t="s">
        <v>186</v>
      </c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8"/>
    </row>
    <row r="2" spans="1:22" ht="15.75">
      <c r="A2" s="285" t="s">
        <v>33</v>
      </c>
      <c r="B2" s="475"/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</row>
    <row r="3" spans="1:22" ht="15.75">
      <c r="A3" s="285" t="s">
        <v>106</v>
      </c>
      <c r="B3" s="475"/>
      <c r="C3" s="457"/>
      <c r="D3" s="457"/>
      <c r="E3" s="457"/>
      <c r="F3" s="457"/>
      <c r="G3" s="457"/>
      <c r="H3" s="457" t="s">
        <v>107</v>
      </c>
      <c r="I3" s="457"/>
      <c r="J3" s="457"/>
      <c r="K3" s="457"/>
      <c r="L3" s="457"/>
      <c r="M3" s="47"/>
      <c r="N3" s="47"/>
      <c r="O3" s="47"/>
      <c r="P3" s="47" t="s">
        <v>34</v>
      </c>
      <c r="Q3" s="286"/>
      <c r="R3" s="47"/>
      <c r="S3" s="47"/>
      <c r="T3" s="47"/>
      <c r="U3" s="47"/>
      <c r="V3" s="47"/>
    </row>
    <row r="4" spans="1:22" ht="15.75">
      <c r="A4" s="285" t="s">
        <v>35</v>
      </c>
      <c r="B4" s="475"/>
      <c r="C4" s="457"/>
      <c r="D4" s="47"/>
      <c r="E4" s="286"/>
      <c r="F4" s="47" t="s">
        <v>42</v>
      </c>
      <c r="G4" s="476"/>
      <c r="H4" s="476"/>
      <c r="I4" s="476"/>
      <c r="J4" s="476"/>
      <c r="K4" s="476"/>
      <c r="L4" s="476"/>
      <c r="M4" s="47"/>
      <c r="N4" s="47"/>
      <c r="O4" s="47"/>
      <c r="P4" s="47" t="s">
        <v>36</v>
      </c>
      <c r="Q4" s="286"/>
      <c r="R4" s="47"/>
      <c r="S4" s="47"/>
      <c r="T4" s="47"/>
      <c r="U4" s="47"/>
      <c r="V4" s="47"/>
    </row>
    <row r="5" spans="1:22" ht="18" customHeight="1">
      <c r="A5" s="285" t="s">
        <v>108</v>
      </c>
      <c r="B5" s="460"/>
      <c r="C5" s="461"/>
      <c r="D5" s="461"/>
      <c r="E5" s="461"/>
      <c r="F5" s="461"/>
      <c r="G5" s="461"/>
      <c r="H5" s="461"/>
      <c r="I5" s="461"/>
      <c r="J5" s="461"/>
      <c r="K5" s="461"/>
      <c r="L5" s="461"/>
      <c r="M5" s="461"/>
      <c r="N5" s="461"/>
      <c r="O5" s="461"/>
      <c r="P5" s="461"/>
      <c r="Q5" s="461"/>
      <c r="R5" s="461"/>
      <c r="S5" s="461"/>
      <c r="T5" s="461"/>
      <c r="U5" s="461"/>
      <c r="V5" s="462"/>
    </row>
    <row r="6" spans="1:22" ht="18" customHeight="1">
      <c r="A6" s="482"/>
      <c r="B6" s="482"/>
      <c r="C6" s="482"/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482"/>
      <c r="V6" s="483"/>
    </row>
    <row r="7" spans="1:22" ht="18" customHeight="1">
      <c r="A7" s="285" t="s">
        <v>38</v>
      </c>
      <c r="B7" s="457"/>
      <c r="C7" s="457"/>
      <c r="D7" s="457"/>
      <c r="E7" s="457"/>
      <c r="F7" s="457"/>
      <c r="G7" s="457"/>
      <c r="H7" s="457"/>
      <c r="I7" s="457"/>
      <c r="J7" s="457"/>
      <c r="K7" s="457"/>
      <c r="L7" s="457"/>
      <c r="M7" s="457"/>
      <c r="N7" s="457"/>
      <c r="O7" s="457"/>
      <c r="P7" s="457"/>
      <c r="Q7" s="457"/>
      <c r="R7" s="457"/>
      <c r="S7" s="457"/>
      <c r="T7" s="457"/>
      <c r="U7" s="457"/>
      <c r="V7" s="457"/>
    </row>
    <row r="8" spans="1:22" ht="18" customHeight="1">
      <c r="A8" s="482"/>
      <c r="B8" s="482"/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3"/>
    </row>
    <row r="9" spans="1:22" ht="18" customHeight="1">
      <c r="A9" s="285" t="s">
        <v>39</v>
      </c>
      <c r="B9" s="460"/>
      <c r="C9" s="461"/>
      <c r="D9" s="461"/>
      <c r="E9" s="461"/>
      <c r="F9" s="461"/>
      <c r="G9" s="461"/>
      <c r="H9" s="461"/>
      <c r="I9" s="462"/>
      <c r="J9" s="47" t="s">
        <v>109</v>
      </c>
      <c r="K9" s="460"/>
      <c r="L9" s="461"/>
      <c r="M9" s="461"/>
      <c r="N9" s="461"/>
      <c r="O9" s="461"/>
      <c r="P9" s="461"/>
      <c r="Q9" s="461"/>
      <c r="R9" s="461"/>
      <c r="S9" s="461"/>
      <c r="T9" s="461"/>
      <c r="U9" s="461"/>
      <c r="V9" s="462"/>
    </row>
    <row r="10" spans="1:22" ht="18" customHeight="1">
      <c r="A10" s="285" t="s">
        <v>40</v>
      </c>
      <c r="B10" s="461"/>
      <c r="C10" s="461"/>
      <c r="D10" s="461"/>
      <c r="E10" s="461"/>
      <c r="F10" s="461"/>
      <c r="G10" s="461"/>
      <c r="H10" s="461"/>
      <c r="I10" s="462"/>
      <c r="J10" s="47" t="s">
        <v>41</v>
      </c>
      <c r="K10" s="460"/>
      <c r="L10" s="461"/>
      <c r="M10" s="461"/>
      <c r="N10" s="461"/>
      <c r="O10" s="461"/>
      <c r="P10" s="461"/>
      <c r="Q10" s="461"/>
      <c r="R10" s="461"/>
      <c r="S10" s="461"/>
      <c r="T10" s="461"/>
      <c r="U10" s="461"/>
      <c r="V10" s="462"/>
    </row>
    <row r="11" spans="1:22" ht="18" customHeight="1">
      <c r="A11" s="285" t="s">
        <v>42</v>
      </c>
      <c r="B11" s="484"/>
      <c r="C11" s="476"/>
      <c r="D11" s="476"/>
      <c r="E11" s="476"/>
      <c r="F11" s="476"/>
      <c r="G11" s="476"/>
      <c r="H11" s="476"/>
      <c r="I11" s="476"/>
      <c r="J11" s="476"/>
      <c r="K11" s="476"/>
      <c r="L11" s="476"/>
      <c r="M11" s="476"/>
      <c r="N11" s="476"/>
      <c r="O11" s="476"/>
      <c r="P11" s="476"/>
      <c r="Q11" s="476"/>
      <c r="R11" s="476"/>
      <c r="S11" s="476"/>
      <c r="T11" s="476"/>
      <c r="U11" s="476"/>
      <c r="V11" s="476"/>
    </row>
    <row r="12" spans="1:22" ht="18" customHeight="1">
      <c r="A12" s="285" t="s">
        <v>43</v>
      </c>
      <c r="B12" s="461"/>
      <c r="C12" s="461"/>
      <c r="D12" s="461"/>
      <c r="E12" s="461"/>
      <c r="F12" s="461"/>
      <c r="G12" s="461"/>
      <c r="H12" s="461"/>
      <c r="I12" s="462"/>
      <c r="J12" s="285" t="s">
        <v>110</v>
      </c>
      <c r="K12" s="460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V12" s="462"/>
    </row>
    <row r="13" spans="1:22" ht="21.75" customHeight="1">
      <c r="A13" s="480" t="s">
        <v>111</v>
      </c>
      <c r="B13" s="480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1"/>
    </row>
    <row r="14" spans="1:22" ht="15" customHeight="1">
      <c r="A14" s="485" t="s">
        <v>112</v>
      </c>
      <c r="B14" s="498" t="s">
        <v>113</v>
      </c>
      <c r="C14" s="499"/>
      <c r="D14" s="502" t="s">
        <v>114</v>
      </c>
      <c r="E14" s="503"/>
      <c r="F14" s="503"/>
      <c r="G14" s="503"/>
      <c r="H14" s="504"/>
      <c r="I14" s="502" t="s">
        <v>115</v>
      </c>
      <c r="J14" s="503"/>
      <c r="K14" s="504"/>
      <c r="L14" s="502" t="s">
        <v>128</v>
      </c>
      <c r="M14" s="503"/>
      <c r="N14" s="503"/>
      <c r="O14" s="503"/>
      <c r="P14" s="502" t="s">
        <v>116</v>
      </c>
      <c r="Q14" s="503"/>
      <c r="R14" s="503"/>
      <c r="S14" s="503"/>
      <c r="T14" s="504"/>
      <c r="U14" s="487" t="s">
        <v>117</v>
      </c>
      <c r="V14" s="485" t="s">
        <v>118</v>
      </c>
    </row>
    <row r="15" spans="1:22" ht="15.75" customHeight="1">
      <c r="A15" s="485"/>
      <c r="B15" s="500"/>
      <c r="C15" s="501"/>
      <c r="D15" s="303" t="s">
        <v>119</v>
      </c>
      <c r="E15" s="303" t="s">
        <v>120</v>
      </c>
      <c r="F15" s="304" t="s">
        <v>121</v>
      </c>
      <c r="G15" s="304" t="s">
        <v>122</v>
      </c>
      <c r="H15" s="304" t="s">
        <v>123</v>
      </c>
      <c r="I15" s="305">
        <v>600</v>
      </c>
      <c r="J15" s="305">
        <v>1200</v>
      </c>
      <c r="K15" s="305" t="s">
        <v>124</v>
      </c>
      <c r="L15" s="305">
        <v>2</v>
      </c>
      <c r="M15" s="306">
        <v>4</v>
      </c>
      <c r="N15" s="306">
        <v>8</v>
      </c>
      <c r="O15" s="306">
        <v>16</v>
      </c>
      <c r="P15" s="306" t="s">
        <v>125</v>
      </c>
      <c r="Q15" s="304" t="s">
        <v>39</v>
      </c>
      <c r="R15" s="304" t="s">
        <v>129</v>
      </c>
      <c r="S15" s="304" t="s">
        <v>126</v>
      </c>
      <c r="T15" s="304" t="s">
        <v>127</v>
      </c>
      <c r="U15" s="488"/>
      <c r="V15" s="485"/>
    </row>
    <row r="16" spans="1:22">
      <c r="A16" s="298" t="s">
        <v>199</v>
      </c>
      <c r="B16" s="126"/>
      <c r="C16" s="132"/>
      <c r="D16" s="287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9"/>
      <c r="V16" s="290"/>
    </row>
    <row r="17" spans="1:22">
      <c r="A17" s="61" t="s">
        <v>200</v>
      </c>
      <c r="B17" s="126"/>
      <c r="C17" s="132"/>
      <c r="D17" s="287"/>
      <c r="E17" s="288"/>
      <c r="F17" s="288">
        <v>1</v>
      </c>
      <c r="G17" s="288">
        <v>1</v>
      </c>
      <c r="H17" s="288"/>
      <c r="I17" s="288">
        <v>1</v>
      </c>
      <c r="J17" s="288"/>
      <c r="K17" s="288"/>
      <c r="L17" s="288"/>
      <c r="M17" s="288">
        <v>1</v>
      </c>
      <c r="N17" s="288"/>
      <c r="O17" s="288"/>
      <c r="P17" s="288"/>
      <c r="Q17" s="288">
        <v>1</v>
      </c>
      <c r="R17" s="288"/>
      <c r="S17" s="288"/>
      <c r="T17" s="288"/>
      <c r="U17" s="289"/>
      <c r="V17" s="291" t="s">
        <v>201</v>
      </c>
    </row>
    <row r="18" spans="1:22">
      <c r="A18" s="61" t="s">
        <v>202</v>
      </c>
      <c r="B18" s="126"/>
      <c r="C18" s="48"/>
      <c r="D18" s="287"/>
      <c r="E18" s="288"/>
      <c r="F18" s="288">
        <v>1</v>
      </c>
      <c r="G18" s="288">
        <v>1</v>
      </c>
      <c r="H18" s="288"/>
      <c r="I18" s="288">
        <v>1</v>
      </c>
      <c r="J18" s="288"/>
      <c r="K18" s="288">
        <v>1</v>
      </c>
      <c r="L18" s="288"/>
      <c r="M18" s="288"/>
      <c r="N18" s="288"/>
      <c r="O18" s="288"/>
      <c r="P18" s="288"/>
      <c r="Q18" s="288">
        <v>1</v>
      </c>
      <c r="R18" s="288"/>
      <c r="S18" s="288"/>
      <c r="T18" s="288"/>
      <c r="U18" s="289"/>
      <c r="V18" s="290" t="s">
        <v>201</v>
      </c>
    </row>
    <row r="19" spans="1:22">
      <c r="A19" s="61" t="s">
        <v>216</v>
      </c>
      <c r="B19" s="126"/>
      <c r="C19" s="4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>
        <v>1</v>
      </c>
      <c r="S19" s="288"/>
      <c r="T19" s="288"/>
      <c r="U19" s="289"/>
      <c r="V19" s="290" t="s">
        <v>217</v>
      </c>
    </row>
    <row r="20" spans="1:22">
      <c r="A20" s="61" t="s">
        <v>238</v>
      </c>
      <c r="B20" s="126"/>
      <c r="C20" s="4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9"/>
      <c r="V20" s="290" t="s">
        <v>239</v>
      </c>
    </row>
    <row r="21" spans="1:22">
      <c r="A21" s="315" t="s">
        <v>203</v>
      </c>
      <c r="B21" s="316"/>
      <c r="C21" s="308"/>
      <c r="D21" s="312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07"/>
      <c r="V21" s="308"/>
    </row>
    <row r="22" spans="1:22">
      <c r="A22" s="61" t="s">
        <v>205</v>
      </c>
      <c r="B22" s="126"/>
      <c r="C22" s="48"/>
      <c r="D22" s="287"/>
      <c r="E22" s="288"/>
      <c r="F22" s="288">
        <v>1</v>
      </c>
      <c r="G22" s="288">
        <v>1</v>
      </c>
      <c r="H22" s="288"/>
      <c r="I22" s="288">
        <v>1</v>
      </c>
      <c r="J22" s="288"/>
      <c r="K22" s="288"/>
      <c r="L22" s="288">
        <v>1</v>
      </c>
      <c r="M22" s="288"/>
      <c r="N22" s="288"/>
      <c r="O22" s="288"/>
      <c r="P22" s="288"/>
      <c r="Q22" s="288">
        <v>1</v>
      </c>
      <c r="R22" s="288"/>
      <c r="S22" s="288"/>
      <c r="T22" s="288"/>
      <c r="U22" s="289"/>
      <c r="V22" s="290" t="s">
        <v>201</v>
      </c>
    </row>
    <row r="23" spans="1:22">
      <c r="A23" s="61"/>
      <c r="B23" s="126"/>
      <c r="C23" s="48"/>
      <c r="D23" s="287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9"/>
      <c r="V23" s="290"/>
    </row>
    <row r="24" spans="1:22">
      <c r="A24" s="315" t="s">
        <v>204</v>
      </c>
      <c r="B24" s="316"/>
      <c r="C24" s="308"/>
      <c r="D24" s="312"/>
      <c r="E24" s="313"/>
      <c r="F24" s="313"/>
      <c r="G24" s="313"/>
      <c r="H24" s="313"/>
      <c r="I24" s="313"/>
      <c r="J24" s="313"/>
      <c r="K24" s="313"/>
      <c r="L24" s="313"/>
      <c r="M24" s="313"/>
      <c r="N24" s="313"/>
      <c r="O24" s="313"/>
      <c r="P24" s="313"/>
      <c r="Q24" s="313"/>
      <c r="R24" s="313"/>
      <c r="S24" s="313"/>
      <c r="T24" s="313"/>
      <c r="U24" s="307"/>
      <c r="V24" s="290"/>
    </row>
    <row r="25" spans="1:22">
      <c r="A25" s="61" t="s">
        <v>206</v>
      </c>
      <c r="B25" s="126"/>
      <c r="C25" s="48"/>
      <c r="D25" s="287"/>
      <c r="E25" s="288"/>
      <c r="F25" s="288">
        <v>1</v>
      </c>
      <c r="G25" s="288">
        <v>1</v>
      </c>
      <c r="H25" s="288"/>
      <c r="I25" s="288">
        <v>1</v>
      </c>
      <c r="J25" s="288"/>
      <c r="K25" s="288"/>
      <c r="L25" s="288">
        <v>1</v>
      </c>
      <c r="M25" s="288"/>
      <c r="N25" s="288"/>
      <c r="O25" s="288"/>
      <c r="P25" s="288"/>
      <c r="Q25" s="288">
        <v>1</v>
      </c>
      <c r="R25" s="288"/>
      <c r="S25" s="288"/>
      <c r="T25" s="288"/>
      <c r="U25" s="289"/>
      <c r="V25" s="290" t="s">
        <v>201</v>
      </c>
    </row>
    <row r="26" spans="1:22">
      <c r="A26" s="61"/>
      <c r="B26" s="126"/>
      <c r="C26" s="48"/>
      <c r="D26" s="287"/>
      <c r="E26" s="288"/>
      <c r="F26" s="288"/>
      <c r="G26" s="288"/>
      <c r="H26" s="288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9"/>
      <c r="V26" s="290"/>
    </row>
    <row r="27" spans="1:22">
      <c r="A27" s="315" t="s">
        <v>207</v>
      </c>
      <c r="B27" s="310"/>
      <c r="C27" s="311"/>
      <c r="D27" s="312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307"/>
      <c r="V27" s="48"/>
    </row>
    <row r="28" spans="1:22" ht="15.75">
      <c r="A28" s="132" t="s">
        <v>206</v>
      </c>
      <c r="B28" s="132"/>
      <c r="C28" s="48"/>
      <c r="D28" s="292"/>
      <c r="E28" s="293"/>
      <c r="F28" s="286">
        <v>1</v>
      </c>
      <c r="G28" s="286">
        <v>1</v>
      </c>
      <c r="H28" s="286"/>
      <c r="I28" s="293">
        <v>1</v>
      </c>
      <c r="J28" s="286"/>
      <c r="K28" s="286"/>
      <c r="L28" s="286">
        <v>1</v>
      </c>
      <c r="M28" s="286"/>
      <c r="N28" s="286"/>
      <c r="O28" s="286"/>
      <c r="P28" s="293"/>
      <c r="Q28" s="286">
        <v>1</v>
      </c>
      <c r="R28" s="286"/>
      <c r="S28" s="286"/>
      <c r="T28" s="286"/>
      <c r="U28" s="294"/>
      <c r="V28" s="48" t="s">
        <v>201</v>
      </c>
    </row>
    <row r="29" spans="1:22">
      <c r="A29" s="132"/>
      <c r="B29" s="132"/>
      <c r="C29" s="48"/>
      <c r="D29" s="292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4"/>
      <c r="V29" s="292"/>
    </row>
    <row r="30" spans="1:22">
      <c r="A30" s="315" t="s">
        <v>208</v>
      </c>
      <c r="B30" s="314"/>
      <c r="C30" s="308"/>
      <c r="D30" s="312"/>
      <c r="E30" s="313"/>
      <c r="F30" s="313"/>
      <c r="G30" s="313"/>
      <c r="H30" s="313"/>
      <c r="I30" s="313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3"/>
      <c r="U30" s="307"/>
      <c r="V30" s="290"/>
    </row>
    <row r="31" spans="1:22">
      <c r="A31" s="61" t="s">
        <v>209</v>
      </c>
      <c r="B31" s="309"/>
      <c r="C31" s="290"/>
      <c r="D31" s="287"/>
      <c r="E31" s="288"/>
      <c r="F31" s="288">
        <v>1</v>
      </c>
      <c r="G31" s="288">
        <v>1</v>
      </c>
      <c r="H31" s="288"/>
      <c r="I31" s="288">
        <v>1</v>
      </c>
      <c r="J31" s="288"/>
      <c r="K31" s="288"/>
      <c r="L31" s="288">
        <v>1</v>
      </c>
      <c r="M31" s="288"/>
      <c r="N31" s="288"/>
      <c r="O31" s="288"/>
      <c r="P31" s="288"/>
      <c r="Q31" s="288">
        <v>1</v>
      </c>
      <c r="R31" s="288"/>
      <c r="S31" s="288"/>
      <c r="T31" s="288"/>
      <c r="U31" s="289"/>
      <c r="V31" s="290" t="s">
        <v>201</v>
      </c>
    </row>
    <row r="33" spans="1:22">
      <c r="A33" s="353" t="s">
        <v>210</v>
      </c>
      <c r="B33" s="302"/>
      <c r="C33" s="296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307"/>
      <c r="V33" s="308"/>
    </row>
    <row r="34" spans="1:22">
      <c r="A34" t="s">
        <v>211</v>
      </c>
      <c r="B34" s="290"/>
      <c r="C34" s="290"/>
      <c r="D34" s="287"/>
      <c r="E34" s="288"/>
      <c r="F34" s="288">
        <v>1</v>
      </c>
      <c r="G34" s="288">
        <v>1</v>
      </c>
      <c r="H34" s="288"/>
      <c r="I34" s="288">
        <v>1</v>
      </c>
      <c r="J34" s="288"/>
      <c r="K34" s="288"/>
      <c r="L34" s="288">
        <v>1</v>
      </c>
      <c r="M34" s="288"/>
      <c r="N34" s="288"/>
      <c r="O34" s="288"/>
      <c r="P34" s="288"/>
      <c r="Q34" s="288">
        <v>1</v>
      </c>
      <c r="R34" s="288"/>
      <c r="S34" s="288"/>
      <c r="T34" s="288"/>
      <c r="U34" s="289"/>
      <c r="V34" s="290"/>
    </row>
    <row r="35" spans="1:22">
      <c r="A35" s="299" t="s">
        <v>212</v>
      </c>
      <c r="B35" s="290"/>
      <c r="C35" s="290"/>
      <c r="D35" s="287"/>
      <c r="E35" s="288"/>
      <c r="F35" s="288">
        <v>1</v>
      </c>
      <c r="G35" s="288"/>
      <c r="H35" s="288">
        <v>1</v>
      </c>
      <c r="I35" s="288">
        <v>1</v>
      </c>
      <c r="J35" s="288"/>
      <c r="K35" s="288"/>
      <c r="L35" s="288">
        <v>1</v>
      </c>
      <c r="M35" s="288"/>
      <c r="N35" s="288"/>
      <c r="O35" s="288"/>
      <c r="P35" s="288"/>
      <c r="Q35" s="288"/>
      <c r="R35" s="288"/>
      <c r="S35" s="288"/>
      <c r="T35" s="288"/>
      <c r="U35" s="289"/>
      <c r="V35" s="290" t="s">
        <v>213</v>
      </c>
    </row>
    <row r="36" spans="1:22">
      <c r="A36" s="301"/>
      <c r="B36" s="290"/>
      <c r="C36" s="290"/>
      <c r="D36" s="287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9"/>
      <c r="V36" s="290"/>
    </row>
    <row r="37" spans="1:22" ht="4.5" customHeight="1">
      <c r="A37" s="505"/>
      <c r="B37" s="506"/>
      <c r="C37" s="506"/>
      <c r="D37" s="506"/>
      <c r="E37" s="506"/>
      <c r="F37" s="506"/>
      <c r="G37" s="506"/>
      <c r="H37" s="506"/>
      <c r="I37" s="506"/>
      <c r="J37" s="506"/>
      <c r="K37" s="506"/>
      <c r="L37" s="506"/>
      <c r="M37" s="506"/>
      <c r="N37" s="506"/>
      <c r="O37" s="506"/>
      <c r="P37" s="506"/>
      <c r="Q37" s="506"/>
      <c r="R37" s="506"/>
      <c r="S37" s="506"/>
      <c r="T37" s="507"/>
      <c r="U37" s="289"/>
      <c r="V37" s="290"/>
    </row>
    <row r="38" spans="1:22">
      <c r="A38" s="356" t="s">
        <v>214</v>
      </c>
      <c r="B38" s="354"/>
      <c r="C38" s="355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307"/>
      <c r="V38" s="308"/>
    </row>
    <row r="39" spans="1:22" ht="4.5" customHeight="1">
      <c r="A39" s="61"/>
      <c r="B39" s="290"/>
      <c r="C39" s="290"/>
      <c r="D39" s="287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9"/>
      <c r="V39" s="290"/>
    </row>
    <row r="40" spans="1:22">
      <c r="A40" t="s">
        <v>215</v>
      </c>
      <c r="B40" s="290"/>
      <c r="C40" s="290"/>
      <c r="D40" s="287"/>
      <c r="E40" s="288"/>
      <c r="F40" s="288">
        <v>1</v>
      </c>
      <c r="G40" s="288"/>
      <c r="H40" s="288">
        <v>1</v>
      </c>
      <c r="I40" s="288">
        <v>1</v>
      </c>
      <c r="J40" s="288"/>
      <c r="K40" s="288"/>
      <c r="L40" s="288">
        <v>1</v>
      </c>
      <c r="M40" s="288"/>
      <c r="N40" s="288"/>
      <c r="O40" s="288"/>
      <c r="P40" s="288"/>
      <c r="Q40" s="288">
        <v>1</v>
      </c>
      <c r="R40" s="288"/>
      <c r="S40" s="288"/>
      <c r="T40" s="288"/>
      <c r="U40" s="289"/>
      <c r="V40" s="290" t="s">
        <v>201</v>
      </c>
    </row>
    <row r="41" spans="1:22">
      <c r="A41" s="61"/>
      <c r="B41" s="290"/>
      <c r="C41" s="290"/>
      <c r="D41" s="287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9"/>
      <c r="V41" s="290"/>
    </row>
    <row r="42" spans="1:22" ht="6" customHeight="1">
      <c r="A42" s="61"/>
      <c r="B42" s="290"/>
      <c r="C42" s="290"/>
      <c r="D42" s="287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9"/>
      <c r="V42" s="290"/>
    </row>
    <row r="43" spans="1:22">
      <c r="A43" s="495"/>
      <c r="B43" s="496"/>
      <c r="C43" s="4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307"/>
      <c r="V43" s="308"/>
    </row>
    <row r="44" spans="1:22">
      <c r="A44" s="298"/>
      <c r="B44" s="290"/>
      <c r="C44" s="290"/>
      <c r="D44" s="287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9"/>
      <c r="V44" s="290"/>
    </row>
    <row r="45" spans="1:22">
      <c r="A45" s="61"/>
      <c r="B45" s="290"/>
      <c r="C45" s="290"/>
      <c r="D45" s="287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9"/>
      <c r="V45" s="290"/>
    </row>
    <row r="46" spans="1:22" ht="5.25" customHeight="1">
      <c r="A46" s="299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300"/>
      <c r="V46" s="290"/>
    </row>
    <row r="47" spans="1:22">
      <c r="A47" s="489"/>
      <c r="B47" s="490"/>
      <c r="C47" s="491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307"/>
      <c r="V47" s="308"/>
    </row>
    <row r="51" spans="1:21" ht="5.25" customHeight="1">
      <c r="A51" s="492"/>
      <c r="B51" s="493"/>
      <c r="C51" s="493"/>
      <c r="D51" s="493"/>
      <c r="E51" s="493"/>
      <c r="F51" s="493"/>
      <c r="G51" s="493"/>
      <c r="H51" s="493"/>
      <c r="I51" s="493"/>
      <c r="J51" s="493"/>
      <c r="K51" s="493"/>
      <c r="L51" s="493"/>
      <c r="M51" s="493"/>
      <c r="N51" s="493"/>
      <c r="O51" s="493"/>
      <c r="P51" s="493"/>
      <c r="Q51" s="493"/>
      <c r="R51" s="493"/>
      <c r="S51" s="493"/>
      <c r="T51" s="494"/>
      <c r="U51" s="289"/>
    </row>
    <row r="52" spans="1:21">
      <c r="A52" s="489" t="s">
        <v>9</v>
      </c>
      <c r="B52" s="490"/>
      <c r="C52" s="491"/>
      <c r="D52" s="297">
        <f>SUM(D48:D49)</f>
        <v>0</v>
      </c>
      <c r="E52" s="297">
        <f>SUM(E48:E49)</f>
        <v>0</v>
      </c>
      <c r="F52" s="297">
        <f>SUM(F17:F50)</f>
        <v>9</v>
      </c>
      <c r="G52" s="297">
        <f>SUM(G17:G50)</f>
        <v>7</v>
      </c>
      <c r="H52" s="297">
        <f>SUM(H17:H49)</f>
        <v>2</v>
      </c>
      <c r="I52" s="297">
        <f>SUM(I17:I49)</f>
        <v>9</v>
      </c>
      <c r="J52" s="297"/>
      <c r="K52" s="297">
        <f>SUM(K17:K49)</f>
        <v>1</v>
      </c>
      <c r="L52" s="297">
        <f>SUM(L17:L49)</f>
        <v>7</v>
      </c>
      <c r="M52" s="297">
        <f>SUM(M17:M49)</f>
        <v>1</v>
      </c>
      <c r="N52" s="297">
        <f t="shared" ref="N52:T52" si="0">SUM(N48:N49)</f>
        <v>0</v>
      </c>
      <c r="O52" s="297">
        <f t="shared" si="0"/>
        <v>0</v>
      </c>
      <c r="P52" s="297">
        <f t="shared" si="0"/>
        <v>0</v>
      </c>
      <c r="Q52" s="297">
        <f>SUM(Q17:Q49)</f>
        <v>8</v>
      </c>
      <c r="R52" s="297">
        <f t="shared" si="0"/>
        <v>0</v>
      </c>
      <c r="S52" s="297">
        <f t="shared" si="0"/>
        <v>0</v>
      </c>
      <c r="T52" s="297">
        <f t="shared" si="0"/>
        <v>0</v>
      </c>
      <c r="U52" s="307"/>
    </row>
    <row r="53" spans="1:21" ht="6" customHeight="1">
      <c r="A53" s="492"/>
      <c r="B53" s="493"/>
      <c r="C53" s="493"/>
      <c r="D53" s="493"/>
      <c r="E53" s="493"/>
      <c r="F53" s="493"/>
      <c r="G53" s="493"/>
      <c r="H53" s="493"/>
      <c r="I53" s="493"/>
      <c r="J53" s="493"/>
      <c r="K53" s="493"/>
      <c r="L53" s="493"/>
      <c r="M53" s="493"/>
      <c r="N53" s="493"/>
      <c r="O53" s="493"/>
      <c r="P53" s="493"/>
      <c r="Q53" s="493"/>
      <c r="R53" s="493"/>
      <c r="S53" s="493"/>
      <c r="T53" s="493"/>
      <c r="U53" s="494"/>
    </row>
    <row r="54" spans="1:21" ht="15.75">
      <c r="A54" s="61"/>
      <c r="B54" s="486" t="s">
        <v>13</v>
      </c>
      <c r="C54" s="486"/>
      <c r="D54" s="295">
        <f t="shared" ref="D54:T54" si="1">D52+D47+D43+D38+D33</f>
        <v>0</v>
      </c>
      <c r="E54" s="295">
        <f t="shared" si="1"/>
        <v>0</v>
      </c>
      <c r="F54" s="295">
        <f t="shared" si="1"/>
        <v>9</v>
      </c>
      <c r="G54" s="295">
        <f t="shared" si="1"/>
        <v>7</v>
      </c>
      <c r="H54" s="295">
        <f t="shared" si="1"/>
        <v>2</v>
      </c>
      <c r="I54" s="295">
        <f t="shared" si="1"/>
        <v>9</v>
      </c>
      <c r="J54" s="295">
        <f t="shared" si="1"/>
        <v>0</v>
      </c>
      <c r="K54" s="295">
        <f t="shared" si="1"/>
        <v>1</v>
      </c>
      <c r="L54" s="295">
        <f t="shared" si="1"/>
        <v>7</v>
      </c>
      <c r="M54" s="295">
        <f t="shared" si="1"/>
        <v>1</v>
      </c>
      <c r="N54" s="295">
        <f t="shared" si="1"/>
        <v>0</v>
      </c>
      <c r="O54" s="295">
        <f t="shared" si="1"/>
        <v>0</v>
      </c>
      <c r="P54" s="295">
        <f t="shared" si="1"/>
        <v>0</v>
      </c>
      <c r="Q54" s="295">
        <f t="shared" si="1"/>
        <v>8</v>
      </c>
      <c r="R54" s="295">
        <f t="shared" si="1"/>
        <v>0</v>
      </c>
      <c r="S54" s="295">
        <f t="shared" si="1"/>
        <v>0</v>
      </c>
      <c r="T54" s="295">
        <f t="shared" si="1"/>
        <v>0</v>
      </c>
      <c r="U54" s="289"/>
    </row>
    <row r="55" spans="1:21">
      <c r="A55" s="61"/>
      <c r="B55" s="479"/>
      <c r="C55" s="479"/>
      <c r="D55" s="287"/>
      <c r="E55" s="288"/>
      <c r="F55" s="288">
        <f>SUM(F54:G54)</f>
        <v>16</v>
      </c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9"/>
    </row>
  </sheetData>
  <mergeCells count="35">
    <mergeCell ref="U14:U15"/>
    <mergeCell ref="A47:C47"/>
    <mergeCell ref="A51:T51"/>
    <mergeCell ref="A52:C52"/>
    <mergeCell ref="A53:U53"/>
    <mergeCell ref="A43:C43"/>
    <mergeCell ref="B14:C15"/>
    <mergeCell ref="D14:H14"/>
    <mergeCell ref="I14:K14"/>
    <mergeCell ref="A37:T37"/>
    <mergeCell ref="L14:O14"/>
    <mergeCell ref="P14:T14"/>
    <mergeCell ref="B55:C55"/>
    <mergeCell ref="A13:V13"/>
    <mergeCell ref="B5:V5"/>
    <mergeCell ref="A6:V6"/>
    <mergeCell ref="B7:V7"/>
    <mergeCell ref="A8:V8"/>
    <mergeCell ref="B9:I9"/>
    <mergeCell ref="K9:V9"/>
    <mergeCell ref="B10:I10"/>
    <mergeCell ref="K10:V10"/>
    <mergeCell ref="B11:V11"/>
    <mergeCell ref="B12:I12"/>
    <mergeCell ref="K12:V12"/>
    <mergeCell ref="V14:V15"/>
    <mergeCell ref="B54:C54"/>
    <mergeCell ref="A14:A15"/>
    <mergeCell ref="B4:C4"/>
    <mergeCell ref="G4:L4"/>
    <mergeCell ref="B1:V1"/>
    <mergeCell ref="B2:V2"/>
    <mergeCell ref="B3:G3"/>
    <mergeCell ref="H3:I3"/>
    <mergeCell ref="J3:L3"/>
  </mergeCells>
  <phoneticPr fontId="57" type="noConversion"/>
  <pageMargins left="0.2" right="0.2" top="0.25" bottom="0.25" header="0.3" footer="0.3"/>
  <pageSetup paperSize="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17D4-C64D-4661-8A06-3BC51258CBE2}">
  <dimension ref="A1:T72"/>
  <sheetViews>
    <sheetView workbookViewId="0">
      <selection activeCell="A12" sqref="A12"/>
    </sheetView>
  </sheetViews>
  <sheetFormatPr defaultRowHeight="15"/>
  <cols>
    <col min="1" max="1" width="24.42578125" style="85" customWidth="1"/>
    <col min="2" max="2" width="6.140625" style="65" customWidth="1"/>
    <col min="3" max="3" width="12.42578125" customWidth="1"/>
    <col min="4" max="4" width="11.7109375" customWidth="1"/>
    <col min="5" max="5" width="12.140625" customWidth="1"/>
    <col min="6" max="6" width="18.7109375" customWidth="1"/>
    <col min="7" max="7" width="16.28515625" customWidth="1"/>
    <col min="8" max="8" width="12.42578125" customWidth="1"/>
    <col min="9" max="9" width="16.140625" style="376" customWidth="1"/>
    <col min="14" max="14" width="9.28515625" bestFit="1" customWidth="1"/>
    <col min="15" max="15" width="10.140625" bestFit="1" customWidth="1"/>
  </cols>
  <sheetData>
    <row r="1" spans="1:9">
      <c r="A1" s="72" t="s">
        <v>0</v>
      </c>
      <c r="B1" s="73" t="s">
        <v>66</v>
      </c>
      <c r="C1" s="73" t="s">
        <v>67</v>
      </c>
      <c r="D1" s="73" t="s">
        <v>68</v>
      </c>
      <c r="E1" s="73" t="s">
        <v>4</v>
      </c>
      <c r="F1" s="73" t="s">
        <v>2</v>
      </c>
      <c r="G1" s="73" t="s">
        <v>13</v>
      </c>
      <c r="H1" s="73" t="s">
        <v>69</v>
      </c>
    </row>
    <row r="2" spans="1:9" ht="21">
      <c r="A2" s="74" t="s">
        <v>70</v>
      </c>
      <c r="B2" s="75"/>
      <c r="C2" s="75"/>
      <c r="D2" s="75"/>
      <c r="E2" s="75"/>
      <c r="F2" s="75"/>
      <c r="G2" s="75"/>
      <c r="H2" s="75"/>
    </row>
    <row r="3" spans="1:9">
      <c r="A3" s="341" t="s">
        <v>181</v>
      </c>
      <c r="B3" s="58">
        <f>EAC!L54</f>
        <v>7</v>
      </c>
      <c r="C3" s="207">
        <v>650</v>
      </c>
      <c r="D3" s="207">
        <f>C3*0.35</f>
        <v>227.49999999999997</v>
      </c>
      <c r="E3" s="208">
        <f t="shared" ref="E3:E17" si="0">C3+D3</f>
        <v>877.5</v>
      </c>
      <c r="F3" s="209">
        <f t="shared" ref="F3:F17" si="1">B3*C3</f>
        <v>4550</v>
      </c>
      <c r="G3" s="210">
        <f t="shared" ref="G3:G17" si="2">E3*B3</f>
        <v>6142.5</v>
      </c>
      <c r="H3" s="211">
        <f t="shared" ref="H3:H17" si="3">D3*B3</f>
        <v>1592.4999999999998</v>
      </c>
      <c r="I3" s="376">
        <f>C3*163</f>
        <v>105950</v>
      </c>
    </row>
    <row r="4" spans="1:9">
      <c r="A4" s="341" t="s">
        <v>249</v>
      </c>
      <c r="B4" s="58">
        <v>7</v>
      </c>
      <c r="C4" s="207">
        <v>50</v>
      </c>
      <c r="D4" s="207">
        <f t="shared" ref="D4:D17" si="4">C4*0.35</f>
        <v>17.5</v>
      </c>
      <c r="E4" s="208">
        <f t="shared" si="0"/>
        <v>67.5</v>
      </c>
      <c r="F4" s="209">
        <f t="shared" si="1"/>
        <v>350</v>
      </c>
      <c r="G4" s="210">
        <f t="shared" si="2"/>
        <v>472.5</v>
      </c>
      <c r="H4" s="211">
        <f t="shared" si="3"/>
        <v>122.5</v>
      </c>
      <c r="I4" s="376">
        <f t="shared" ref="I4:I17" si="5">C4*163</f>
        <v>8150</v>
      </c>
    </row>
    <row r="5" spans="1:9">
      <c r="A5" s="341" t="s">
        <v>154</v>
      </c>
      <c r="B5" s="58">
        <f>EAC!M54</f>
        <v>1</v>
      </c>
      <c r="C5" s="207">
        <v>1138.1500000000001</v>
      </c>
      <c r="D5" s="207">
        <f t="shared" si="4"/>
        <v>398.35250000000002</v>
      </c>
      <c r="E5" s="208">
        <f t="shared" si="0"/>
        <v>1536.5025000000001</v>
      </c>
      <c r="F5" s="209">
        <f t="shared" si="1"/>
        <v>1138.1500000000001</v>
      </c>
      <c r="G5" s="210">
        <f t="shared" si="2"/>
        <v>1536.5025000000001</v>
      </c>
      <c r="H5" s="211">
        <f t="shared" si="3"/>
        <v>398.35250000000002</v>
      </c>
      <c r="I5" s="376">
        <f t="shared" si="5"/>
        <v>185518.45</v>
      </c>
    </row>
    <row r="6" spans="1:9">
      <c r="A6" s="343" t="s">
        <v>155</v>
      </c>
      <c r="B6" s="58">
        <f>B5</f>
        <v>1</v>
      </c>
      <c r="C6" s="207">
        <v>164.45</v>
      </c>
      <c r="D6" s="207">
        <f t="shared" si="4"/>
        <v>57.55749999999999</v>
      </c>
      <c r="E6" s="208">
        <f t="shared" si="0"/>
        <v>222.00749999999999</v>
      </c>
      <c r="F6" s="209">
        <f t="shared" si="1"/>
        <v>164.45</v>
      </c>
      <c r="G6" s="210">
        <f t="shared" si="2"/>
        <v>222.00749999999999</v>
      </c>
      <c r="H6" s="211">
        <f t="shared" si="3"/>
        <v>57.55749999999999</v>
      </c>
      <c r="I6" s="376">
        <f t="shared" si="5"/>
        <v>26805.35</v>
      </c>
    </row>
    <row r="7" spans="1:9">
      <c r="A7" s="341" t="s">
        <v>156</v>
      </c>
      <c r="B7" s="58">
        <f>B5</f>
        <v>1</v>
      </c>
      <c r="C7" s="207">
        <v>242.45</v>
      </c>
      <c r="D7" s="207">
        <f t="shared" si="4"/>
        <v>84.857499999999987</v>
      </c>
      <c r="E7" s="208">
        <f t="shared" si="0"/>
        <v>327.3075</v>
      </c>
      <c r="F7" s="209">
        <f t="shared" si="1"/>
        <v>242.45</v>
      </c>
      <c r="G7" s="210">
        <f t="shared" si="2"/>
        <v>327.3075</v>
      </c>
      <c r="H7" s="211">
        <f t="shared" si="3"/>
        <v>84.857499999999987</v>
      </c>
      <c r="I7" s="376">
        <f t="shared" si="5"/>
        <v>39519.35</v>
      </c>
    </row>
    <row r="8" spans="1:9">
      <c r="A8" s="341" t="s">
        <v>157</v>
      </c>
      <c r="B8" s="58">
        <v>1</v>
      </c>
      <c r="C8" s="207">
        <v>221.65</v>
      </c>
      <c r="D8" s="207">
        <f t="shared" si="4"/>
        <v>77.577500000000001</v>
      </c>
      <c r="E8" s="208">
        <f t="shared" si="0"/>
        <v>299.22750000000002</v>
      </c>
      <c r="F8" s="209">
        <f t="shared" si="1"/>
        <v>221.65</v>
      </c>
      <c r="G8" s="210">
        <f t="shared" si="2"/>
        <v>299.22750000000002</v>
      </c>
      <c r="H8" s="211">
        <f t="shared" si="3"/>
        <v>77.577500000000001</v>
      </c>
      <c r="I8" s="376">
        <f t="shared" si="5"/>
        <v>36128.950000000004</v>
      </c>
    </row>
    <row r="9" spans="1:9">
      <c r="A9" s="341" t="s">
        <v>158</v>
      </c>
      <c r="B9" s="58">
        <f>B8</f>
        <v>1</v>
      </c>
      <c r="C9" s="207">
        <v>40.950000000000003</v>
      </c>
      <c r="D9" s="207">
        <f t="shared" si="4"/>
        <v>14.3325</v>
      </c>
      <c r="E9" s="208">
        <f t="shared" si="0"/>
        <v>55.282499999999999</v>
      </c>
      <c r="F9" s="209">
        <f t="shared" si="1"/>
        <v>40.950000000000003</v>
      </c>
      <c r="G9" s="210">
        <f t="shared" si="2"/>
        <v>55.282499999999999</v>
      </c>
      <c r="H9" s="211">
        <f t="shared" si="3"/>
        <v>14.3325</v>
      </c>
      <c r="I9" s="376">
        <f t="shared" si="5"/>
        <v>6674.85</v>
      </c>
    </row>
    <row r="10" spans="1:9">
      <c r="A10" s="341" t="s">
        <v>159</v>
      </c>
      <c r="B10" s="58">
        <f>B8</f>
        <v>1</v>
      </c>
      <c r="C10" s="323">
        <v>128.69999999999999</v>
      </c>
      <c r="D10" s="207">
        <f t="shared" si="4"/>
        <v>45.044999999999995</v>
      </c>
      <c r="E10" s="208">
        <f t="shared" si="0"/>
        <v>173.74499999999998</v>
      </c>
      <c r="F10" s="209">
        <f t="shared" si="1"/>
        <v>128.69999999999999</v>
      </c>
      <c r="G10" s="210">
        <f t="shared" si="2"/>
        <v>173.74499999999998</v>
      </c>
      <c r="H10" s="211">
        <f t="shared" si="3"/>
        <v>45.044999999999995</v>
      </c>
      <c r="I10" s="376">
        <f t="shared" si="5"/>
        <v>20978.1</v>
      </c>
    </row>
    <row r="11" spans="1:9">
      <c r="A11" s="341" t="s">
        <v>160</v>
      </c>
      <c r="B11" s="60">
        <f>B8</f>
        <v>1</v>
      </c>
      <c r="C11" s="131">
        <v>162.5</v>
      </c>
      <c r="D11" s="207">
        <f t="shared" si="4"/>
        <v>56.874999999999993</v>
      </c>
      <c r="E11" s="208">
        <f t="shared" si="0"/>
        <v>219.375</v>
      </c>
      <c r="F11" s="209">
        <f t="shared" si="1"/>
        <v>162.5</v>
      </c>
      <c r="G11" s="210">
        <f t="shared" si="2"/>
        <v>219.375</v>
      </c>
      <c r="H11" s="211">
        <f t="shared" si="3"/>
        <v>56.874999999999993</v>
      </c>
      <c r="I11" s="376">
        <f t="shared" si="5"/>
        <v>26487.5</v>
      </c>
    </row>
    <row r="12" spans="1:9">
      <c r="A12" s="341" t="s">
        <v>185</v>
      </c>
      <c r="B12" s="58">
        <v>1</v>
      </c>
      <c r="C12" s="351">
        <v>196.95</v>
      </c>
      <c r="D12" s="207">
        <f t="shared" si="4"/>
        <v>68.93249999999999</v>
      </c>
      <c r="E12" s="208">
        <f t="shared" si="0"/>
        <v>265.88249999999999</v>
      </c>
      <c r="F12" s="209">
        <f t="shared" si="1"/>
        <v>196.95</v>
      </c>
      <c r="G12" s="210">
        <f t="shared" si="2"/>
        <v>265.88249999999999</v>
      </c>
      <c r="H12" s="211">
        <f t="shared" si="3"/>
        <v>68.93249999999999</v>
      </c>
      <c r="I12" s="376">
        <f t="shared" si="5"/>
        <v>32102.85</v>
      </c>
    </row>
    <row r="13" spans="1:9">
      <c r="A13" s="341" t="s">
        <v>161</v>
      </c>
      <c r="B13" s="58">
        <f>EAC!F55</f>
        <v>16</v>
      </c>
      <c r="C13" s="345">
        <v>333.45</v>
      </c>
      <c r="D13" s="207">
        <f t="shared" si="4"/>
        <v>116.70749999999998</v>
      </c>
      <c r="E13" s="208">
        <f t="shared" si="0"/>
        <v>450.15749999999997</v>
      </c>
      <c r="F13" s="209">
        <f t="shared" si="1"/>
        <v>5335.2</v>
      </c>
      <c r="G13" s="210">
        <f t="shared" si="2"/>
        <v>7202.5199999999995</v>
      </c>
      <c r="H13" s="211">
        <f t="shared" si="3"/>
        <v>1867.3199999999997</v>
      </c>
      <c r="I13" s="376">
        <f t="shared" si="5"/>
        <v>54352.35</v>
      </c>
    </row>
    <row r="14" spans="1:9">
      <c r="A14" s="344" t="s">
        <v>162</v>
      </c>
      <c r="B14" s="58">
        <f>EAC!H54</f>
        <v>2</v>
      </c>
      <c r="C14" s="207">
        <v>39</v>
      </c>
      <c r="D14" s="207">
        <f t="shared" si="4"/>
        <v>13.649999999999999</v>
      </c>
      <c r="E14" s="208">
        <f t="shared" si="0"/>
        <v>52.65</v>
      </c>
      <c r="F14" s="209">
        <f t="shared" si="1"/>
        <v>78</v>
      </c>
      <c r="G14" s="210">
        <f t="shared" si="2"/>
        <v>105.3</v>
      </c>
      <c r="H14" s="211">
        <f t="shared" si="3"/>
        <v>27.299999999999997</v>
      </c>
      <c r="I14" s="376">
        <f t="shared" si="5"/>
        <v>6357</v>
      </c>
    </row>
    <row r="15" spans="1:9">
      <c r="A15" s="76" t="s">
        <v>163</v>
      </c>
      <c r="B15" s="119">
        <f>EAC!I54</f>
        <v>9</v>
      </c>
      <c r="C15" s="207">
        <v>85</v>
      </c>
      <c r="D15" s="207">
        <f t="shared" si="4"/>
        <v>29.749999999999996</v>
      </c>
      <c r="E15" s="208">
        <f t="shared" si="0"/>
        <v>114.75</v>
      </c>
      <c r="F15" s="209">
        <f t="shared" si="1"/>
        <v>765</v>
      </c>
      <c r="G15" s="210">
        <f t="shared" si="2"/>
        <v>1032.75</v>
      </c>
      <c r="H15" s="211">
        <f t="shared" si="3"/>
        <v>267.74999999999994</v>
      </c>
      <c r="I15" s="376">
        <f t="shared" si="5"/>
        <v>13855</v>
      </c>
    </row>
    <row r="16" spans="1:9">
      <c r="A16" s="76" t="s">
        <v>164</v>
      </c>
      <c r="B16" s="119">
        <f>EAC!K54</f>
        <v>1</v>
      </c>
      <c r="C16" s="207">
        <v>53</v>
      </c>
      <c r="D16" s="207">
        <f t="shared" si="4"/>
        <v>18.549999999999997</v>
      </c>
      <c r="E16" s="208">
        <f t="shared" si="0"/>
        <v>71.55</v>
      </c>
      <c r="F16" s="209">
        <f t="shared" si="1"/>
        <v>53</v>
      </c>
      <c r="G16" s="210">
        <f t="shared" si="2"/>
        <v>71.55</v>
      </c>
      <c r="H16" s="211">
        <f t="shared" si="3"/>
        <v>18.549999999999997</v>
      </c>
      <c r="I16" s="376">
        <f t="shared" si="5"/>
        <v>8639</v>
      </c>
    </row>
    <row r="17" spans="1:20">
      <c r="A17" s="118" t="s">
        <v>140</v>
      </c>
      <c r="B17" s="119">
        <v>1</v>
      </c>
      <c r="C17" s="207">
        <v>1200</v>
      </c>
      <c r="D17" s="207">
        <f t="shared" si="4"/>
        <v>420</v>
      </c>
      <c r="E17" s="208">
        <f t="shared" si="0"/>
        <v>1620</v>
      </c>
      <c r="F17" s="209">
        <f t="shared" si="1"/>
        <v>1200</v>
      </c>
      <c r="G17" s="210">
        <f t="shared" si="2"/>
        <v>1620</v>
      </c>
      <c r="H17" s="211">
        <f t="shared" si="3"/>
        <v>420</v>
      </c>
      <c r="I17" s="376">
        <f t="shared" si="5"/>
        <v>195600</v>
      </c>
    </row>
    <row r="18" spans="1:20" ht="15.75">
      <c r="A18" s="76"/>
      <c r="B18" s="77"/>
      <c r="C18" s="78"/>
      <c r="D18" s="131"/>
      <c r="E18" s="217" t="s">
        <v>9</v>
      </c>
      <c r="F18" s="218">
        <f>SUM(F3:F17)</f>
        <v>14626.999999999998</v>
      </c>
      <c r="G18" s="218">
        <f>SUM(G3:G17)</f>
        <v>19746.45</v>
      </c>
      <c r="H18" s="218">
        <f>SUM(H3:H17)</f>
        <v>5119.45</v>
      </c>
    </row>
    <row r="19" spans="1:20" ht="15.75">
      <c r="A19" s="79"/>
      <c r="B19" s="80"/>
      <c r="C19" s="81"/>
      <c r="D19" s="219"/>
      <c r="E19" s="220" t="s">
        <v>71</v>
      </c>
      <c r="F19" s="221">
        <f>F18*0.44</f>
        <v>6435.8799999999992</v>
      </c>
      <c r="G19" s="221">
        <f>G18*0.44</f>
        <v>8688.4380000000001</v>
      </c>
      <c r="H19" s="221"/>
    </row>
    <row r="20" spans="1:20" ht="15" customHeight="1">
      <c r="A20" s="79"/>
      <c r="B20" s="82"/>
      <c r="C20" s="82"/>
      <c r="D20" s="223"/>
      <c r="E20" s="223"/>
      <c r="F20" s="223"/>
      <c r="G20" s="223"/>
      <c r="H20" s="224"/>
    </row>
    <row r="21" spans="1:20" ht="18.75" customHeight="1">
      <c r="A21" s="74" t="s">
        <v>72</v>
      </c>
      <c r="B21" s="75"/>
      <c r="C21" s="75"/>
      <c r="D21" s="225"/>
      <c r="E21" s="225"/>
      <c r="F21" s="225"/>
      <c r="G21" s="225"/>
      <c r="H21" s="225"/>
      <c r="S21">
        <v>650</v>
      </c>
      <c r="T21">
        <f>S21*1.35</f>
        <v>877.50000000000011</v>
      </c>
    </row>
    <row r="22" spans="1:20" ht="15" customHeight="1">
      <c r="A22" s="72" t="s">
        <v>0</v>
      </c>
      <c r="B22" s="83" t="s">
        <v>66</v>
      </c>
      <c r="C22" s="83" t="s">
        <v>67</v>
      </c>
      <c r="D22" s="226" t="s">
        <v>68</v>
      </c>
      <c r="E22" s="226" t="s">
        <v>4</v>
      </c>
      <c r="F22" s="226" t="s">
        <v>2</v>
      </c>
      <c r="G22" s="226" t="s">
        <v>13</v>
      </c>
      <c r="H22" s="226" t="s">
        <v>69</v>
      </c>
      <c r="I22" s="376">
        <f>C17+C52</f>
        <v>3200</v>
      </c>
      <c r="J22">
        <f>I22*163</f>
        <v>521600</v>
      </c>
    </row>
    <row r="23" spans="1:20" ht="16.5" customHeight="1">
      <c r="A23" s="76"/>
      <c r="B23" s="60"/>
      <c r="C23" s="84"/>
      <c r="D23" s="227">
        <f>C23*25%</f>
        <v>0</v>
      </c>
      <c r="E23" s="228">
        <f>D23+C23</f>
        <v>0</v>
      </c>
      <c r="F23" s="229">
        <f>C23*B23</f>
        <v>0</v>
      </c>
      <c r="G23" s="230">
        <f>E23*B23</f>
        <v>0</v>
      </c>
      <c r="H23" s="231">
        <f>D23*B23</f>
        <v>0</v>
      </c>
      <c r="J23" s="375">
        <v>52.08</v>
      </c>
      <c r="K23">
        <f>J23*1.35</f>
        <v>70.308000000000007</v>
      </c>
    </row>
    <row r="24" spans="1:20" ht="16.5" customHeight="1">
      <c r="A24" s="76"/>
      <c r="B24" s="60"/>
      <c r="C24" s="84"/>
      <c r="D24" s="227">
        <f>C24*25%</f>
        <v>0</v>
      </c>
      <c r="E24" s="228">
        <f>D24+C24</f>
        <v>0</v>
      </c>
      <c r="F24" s="229">
        <f>C24*B24</f>
        <v>0</v>
      </c>
      <c r="G24" s="230">
        <f>E24*B24</f>
        <v>0</v>
      </c>
      <c r="H24" s="231">
        <f>D24*B24</f>
        <v>0</v>
      </c>
    </row>
    <row r="25" spans="1:20">
      <c r="D25" s="142"/>
      <c r="E25" s="232" t="s">
        <v>9</v>
      </c>
      <c r="F25" s="233">
        <f>F24+F23</f>
        <v>0</v>
      </c>
      <c r="G25" s="233">
        <f t="shared" ref="G25:H25" si="6">G24+G23</f>
        <v>0</v>
      </c>
      <c r="H25" s="233">
        <f t="shared" si="6"/>
        <v>0</v>
      </c>
    </row>
    <row r="26" spans="1:20">
      <c r="D26" s="142"/>
      <c r="E26" s="234" t="s">
        <v>71</v>
      </c>
      <c r="F26" s="235">
        <f>F25*22%</f>
        <v>0</v>
      </c>
      <c r="G26" s="236">
        <f t="shared" ref="G26" si="7">G25*22%</f>
        <v>0</v>
      </c>
      <c r="H26" s="235"/>
    </row>
    <row r="27" spans="1:20">
      <c r="D27" s="142"/>
      <c r="E27" s="142"/>
      <c r="F27" s="142"/>
      <c r="G27" s="142"/>
      <c r="H27" s="142"/>
    </row>
    <row r="28" spans="1:20" ht="21">
      <c r="A28" s="86" t="s">
        <v>73</v>
      </c>
      <c r="B28" s="87"/>
      <c r="C28" s="87"/>
      <c r="D28" s="237"/>
      <c r="E28" s="237"/>
      <c r="F28" s="237"/>
      <c r="G28" s="237"/>
      <c r="H28" s="238"/>
    </row>
    <row r="29" spans="1:20">
      <c r="A29" s="88" t="s">
        <v>0</v>
      </c>
      <c r="B29" s="89" t="s">
        <v>66</v>
      </c>
      <c r="C29" s="89" t="s">
        <v>67</v>
      </c>
      <c r="D29" s="239" t="s">
        <v>68</v>
      </c>
      <c r="E29" s="239" t="s">
        <v>4</v>
      </c>
      <c r="F29" s="226" t="s">
        <v>2</v>
      </c>
      <c r="G29" s="239" t="s">
        <v>13</v>
      </c>
      <c r="H29" s="239" t="s">
        <v>69</v>
      </c>
    </row>
    <row r="30" spans="1:20">
      <c r="A30" s="341" t="s">
        <v>226</v>
      </c>
      <c r="B30" s="58">
        <v>1</v>
      </c>
      <c r="C30" s="207">
        <v>482.62</v>
      </c>
      <c r="D30" s="240">
        <f>C30*0.35</f>
        <v>168.917</v>
      </c>
      <c r="E30" s="208">
        <f t="shared" ref="E30:E32" si="8">C30+D30</f>
        <v>651.53700000000003</v>
      </c>
      <c r="F30" s="209">
        <f>C30*B30</f>
        <v>482.62</v>
      </c>
      <c r="G30" s="210">
        <f>E30*B30</f>
        <v>651.53700000000003</v>
      </c>
      <c r="H30" s="211">
        <f>D30*B30</f>
        <v>168.917</v>
      </c>
      <c r="I30" s="376">
        <f>C30*163</f>
        <v>78667.06</v>
      </c>
    </row>
    <row r="31" spans="1:20">
      <c r="A31" s="342" t="s">
        <v>153</v>
      </c>
      <c r="B31" s="58">
        <v>1</v>
      </c>
      <c r="C31" s="207">
        <v>572</v>
      </c>
      <c r="D31" s="240">
        <f t="shared" ref="D31:D32" si="9">C31*0.35</f>
        <v>200.2</v>
      </c>
      <c r="E31" s="208">
        <f t="shared" si="8"/>
        <v>772.2</v>
      </c>
      <c r="F31" s="209">
        <f t="shared" ref="F31:F32" si="10">C31*B31</f>
        <v>572</v>
      </c>
      <c r="G31" s="210">
        <f t="shared" ref="G31:G32" si="11">E31*B31</f>
        <v>772.2</v>
      </c>
      <c r="H31" s="211">
        <f t="shared" ref="H31:H32" si="12">D31*B31</f>
        <v>200.2</v>
      </c>
      <c r="I31" s="376">
        <f t="shared" ref="I31:I32" si="13">C31*163</f>
        <v>93236</v>
      </c>
    </row>
    <row r="32" spans="1:20">
      <c r="A32" s="110" t="s">
        <v>176</v>
      </c>
      <c r="B32" s="58"/>
      <c r="C32" s="207">
        <v>1076</v>
      </c>
      <c r="D32" s="240">
        <f t="shared" si="9"/>
        <v>376.59999999999997</v>
      </c>
      <c r="E32" s="242">
        <f t="shared" si="8"/>
        <v>1452.6</v>
      </c>
      <c r="F32" s="214">
        <f t="shared" si="10"/>
        <v>0</v>
      </c>
      <c r="G32" s="215">
        <f t="shared" si="11"/>
        <v>0</v>
      </c>
      <c r="H32" s="216">
        <f t="shared" si="12"/>
        <v>0</v>
      </c>
      <c r="I32" s="376">
        <f t="shared" si="13"/>
        <v>175388</v>
      </c>
    </row>
    <row r="33" spans="1:9">
      <c r="A33" s="90"/>
      <c r="B33" s="129"/>
      <c r="C33" s="91"/>
      <c r="D33" s="241"/>
      <c r="E33" s="243" t="s">
        <v>9</v>
      </c>
      <c r="F33" s="244">
        <f>SUM(F30:F32)</f>
        <v>1054.6199999999999</v>
      </c>
      <c r="G33" s="244">
        <f>SUM(G30:G32)</f>
        <v>1423.7370000000001</v>
      </c>
      <c r="H33" s="244">
        <f>SUM(H30:H32)</f>
        <v>369.11699999999996</v>
      </c>
    </row>
    <row r="34" spans="1:9">
      <c r="A34"/>
      <c r="D34" s="142"/>
      <c r="E34" s="245"/>
      <c r="F34" s="246"/>
      <c r="G34" s="246"/>
      <c r="H34" s="246"/>
    </row>
    <row r="35" spans="1:9" ht="21">
      <c r="A35" s="86" t="s">
        <v>81</v>
      </c>
      <c r="B35" s="87"/>
      <c r="C35" s="87"/>
      <c r="D35" s="237"/>
      <c r="E35" s="237"/>
      <c r="F35" s="237"/>
      <c r="G35" s="237"/>
      <c r="H35" s="238"/>
    </row>
    <row r="36" spans="1:9">
      <c r="A36" s="88" t="s">
        <v>0</v>
      </c>
      <c r="B36" s="123" t="s">
        <v>66</v>
      </c>
      <c r="C36" s="123" t="s">
        <v>67</v>
      </c>
      <c r="D36" s="247" t="s">
        <v>68</v>
      </c>
      <c r="E36" s="247" t="s">
        <v>4</v>
      </c>
      <c r="F36" s="226" t="s">
        <v>2</v>
      </c>
      <c r="G36" s="247" t="s">
        <v>13</v>
      </c>
      <c r="H36" s="247" t="s">
        <v>69</v>
      </c>
    </row>
    <row r="37" spans="1:9">
      <c r="A37" s="130"/>
      <c r="B37" s="60"/>
      <c r="C37" s="131"/>
      <c r="D37" s="248">
        <f t="shared" ref="D37:D42" si="14">C37*0.3</f>
        <v>0</v>
      </c>
      <c r="E37" s="249">
        <f t="shared" ref="E37:E42" si="15">D37+C37</f>
        <v>0</v>
      </c>
      <c r="F37" s="250">
        <f t="shared" ref="F37:F42" si="16">C37*B37</f>
        <v>0</v>
      </c>
      <c r="G37" s="251">
        <f t="shared" ref="G37:G42" si="17">E37*B37</f>
        <v>0</v>
      </c>
      <c r="H37" s="248">
        <f t="shared" ref="H37:H42" si="18">D37*B37</f>
        <v>0</v>
      </c>
    </row>
    <row r="38" spans="1:9">
      <c r="A38" s="141"/>
      <c r="B38" s="60"/>
      <c r="C38" s="124"/>
      <c r="D38" s="248">
        <f t="shared" si="14"/>
        <v>0</v>
      </c>
      <c r="E38" s="249">
        <f t="shared" si="15"/>
        <v>0</v>
      </c>
      <c r="F38" s="250">
        <f t="shared" si="16"/>
        <v>0</v>
      </c>
      <c r="G38" s="251">
        <f t="shared" si="17"/>
        <v>0</v>
      </c>
      <c r="H38" s="248">
        <f t="shared" si="18"/>
        <v>0</v>
      </c>
    </row>
    <row r="39" spans="1:9">
      <c r="A39" s="132"/>
      <c r="B39" s="60"/>
      <c r="C39" s="124"/>
      <c r="D39" s="248">
        <f t="shared" si="14"/>
        <v>0</v>
      </c>
      <c r="E39" s="249">
        <f t="shared" si="15"/>
        <v>0</v>
      </c>
      <c r="F39" s="250">
        <f t="shared" si="16"/>
        <v>0</v>
      </c>
      <c r="G39" s="251">
        <f t="shared" si="17"/>
        <v>0</v>
      </c>
      <c r="H39" s="248">
        <f t="shared" si="18"/>
        <v>0</v>
      </c>
    </row>
    <row r="40" spans="1:9">
      <c r="A40" s="132"/>
      <c r="B40" s="60"/>
      <c r="C40" s="124"/>
      <c r="D40" s="248">
        <f t="shared" si="14"/>
        <v>0</v>
      </c>
      <c r="E40" s="249">
        <f t="shared" si="15"/>
        <v>0</v>
      </c>
      <c r="F40" s="250">
        <f t="shared" si="16"/>
        <v>0</v>
      </c>
      <c r="G40" s="251">
        <f t="shared" si="17"/>
        <v>0</v>
      </c>
      <c r="H40" s="248">
        <f t="shared" si="18"/>
        <v>0</v>
      </c>
    </row>
    <row r="41" spans="1:9">
      <c r="A41" s="132"/>
      <c r="B41" s="60"/>
      <c r="C41" s="124"/>
      <c r="D41" s="248">
        <f t="shared" si="14"/>
        <v>0</v>
      </c>
      <c r="E41" s="249">
        <f t="shared" si="15"/>
        <v>0</v>
      </c>
      <c r="F41" s="250">
        <f t="shared" si="16"/>
        <v>0</v>
      </c>
      <c r="G41" s="251">
        <f t="shared" si="17"/>
        <v>0</v>
      </c>
      <c r="H41" s="248">
        <f t="shared" si="18"/>
        <v>0</v>
      </c>
    </row>
    <row r="42" spans="1:9">
      <c r="A42" s="141"/>
      <c r="B42" s="60"/>
      <c r="C42" s="124"/>
      <c r="D42" s="248">
        <f t="shared" si="14"/>
        <v>0</v>
      </c>
      <c r="E42" s="252">
        <f t="shared" si="15"/>
        <v>0</v>
      </c>
      <c r="F42" s="253">
        <f t="shared" si="16"/>
        <v>0</v>
      </c>
      <c r="G42" s="254">
        <f t="shared" si="17"/>
        <v>0</v>
      </c>
      <c r="H42" s="255">
        <f t="shared" si="18"/>
        <v>0</v>
      </c>
    </row>
    <row r="43" spans="1:9">
      <c r="C43" s="122"/>
      <c r="D43" s="256"/>
      <c r="E43" s="257" t="s">
        <v>9</v>
      </c>
      <c r="F43" s="255">
        <f>SUM(F39:F42)</f>
        <v>0</v>
      </c>
      <c r="G43" s="255">
        <f>SUM(G39:G42)</f>
        <v>0</v>
      </c>
      <c r="H43" s="255">
        <f>SUM(H39:H42)</f>
        <v>0</v>
      </c>
    </row>
    <row r="44" spans="1:9">
      <c r="C44" s="122"/>
      <c r="D44" s="256"/>
      <c r="E44" s="258" t="s">
        <v>11</v>
      </c>
      <c r="F44" s="259">
        <f>F43*0.5</f>
        <v>0</v>
      </c>
      <c r="G44" s="259">
        <f t="shared" ref="G44:H44" si="19">G43*0.5</f>
        <v>0</v>
      </c>
      <c r="H44" s="259">
        <f t="shared" si="19"/>
        <v>0</v>
      </c>
    </row>
    <row r="45" spans="1:9" ht="9" customHeight="1">
      <c r="A45" s="126"/>
      <c r="B45" s="125"/>
      <c r="C45" s="127"/>
      <c r="D45" s="260"/>
      <c r="E45" s="260"/>
      <c r="F45" s="260"/>
      <c r="G45" s="260"/>
      <c r="H45" s="261"/>
    </row>
    <row r="46" spans="1:9" ht="21">
      <c r="A46" s="86" t="s">
        <v>74</v>
      </c>
      <c r="B46" s="87"/>
      <c r="C46" s="87"/>
      <c r="D46" s="237"/>
      <c r="E46" s="237"/>
      <c r="F46" s="237"/>
      <c r="G46" s="237"/>
      <c r="H46" s="238"/>
    </row>
    <row r="47" spans="1:9" ht="21">
      <c r="A47" s="92"/>
      <c r="B47" s="89" t="s">
        <v>66</v>
      </c>
      <c r="C47" s="89" t="s">
        <v>67</v>
      </c>
      <c r="D47" s="239" t="s">
        <v>68</v>
      </c>
      <c r="E47" s="239" t="s">
        <v>4</v>
      </c>
      <c r="F47" s="226" t="s">
        <v>2</v>
      </c>
      <c r="G47" s="239" t="s">
        <v>13</v>
      </c>
      <c r="H47" s="239" t="s">
        <v>69</v>
      </c>
    </row>
    <row r="48" spans="1:9">
      <c r="A48" s="346" t="s">
        <v>177</v>
      </c>
      <c r="B48" s="58">
        <v>4</v>
      </c>
      <c r="C48" s="262">
        <v>160</v>
      </c>
      <c r="D48" s="262">
        <f>C48*0.35</f>
        <v>56</v>
      </c>
      <c r="E48" s="263">
        <f>D48+C48</f>
        <v>216</v>
      </c>
      <c r="F48" s="250">
        <f>C48*B48</f>
        <v>640</v>
      </c>
      <c r="G48" s="251">
        <f>E48*B48</f>
        <v>864</v>
      </c>
      <c r="H48" s="264">
        <f>D48*B48</f>
        <v>224</v>
      </c>
      <c r="I48" s="376">
        <f>C48*163</f>
        <v>26080</v>
      </c>
    </row>
    <row r="49" spans="1:9">
      <c r="A49" s="346" t="s">
        <v>178</v>
      </c>
      <c r="B49" s="58">
        <v>1</v>
      </c>
      <c r="C49" s="262">
        <v>250</v>
      </c>
      <c r="D49" s="262">
        <f t="shared" ref="D49:D52" si="20">C49*0.35</f>
        <v>87.5</v>
      </c>
      <c r="E49" s="263">
        <f t="shared" ref="E49:E52" si="21">D49+C49</f>
        <v>337.5</v>
      </c>
      <c r="F49" s="250">
        <f t="shared" ref="F49:F52" si="22">C49*B49</f>
        <v>250</v>
      </c>
      <c r="G49" s="251">
        <f t="shared" ref="G49:G52" si="23">E49*B49</f>
        <v>337.5</v>
      </c>
      <c r="H49" s="264">
        <f>D49*B49</f>
        <v>87.5</v>
      </c>
      <c r="I49" s="376">
        <f t="shared" ref="I49:I52" si="24">C49*163</f>
        <v>40750</v>
      </c>
    </row>
    <row r="50" spans="1:9">
      <c r="A50" s="346" t="s">
        <v>179</v>
      </c>
      <c r="B50" s="58">
        <v>21</v>
      </c>
      <c r="C50" s="262">
        <v>40</v>
      </c>
      <c r="D50" s="262">
        <f t="shared" si="20"/>
        <v>14</v>
      </c>
      <c r="E50" s="263">
        <f t="shared" si="21"/>
        <v>54</v>
      </c>
      <c r="F50" s="250">
        <f t="shared" si="22"/>
        <v>840</v>
      </c>
      <c r="G50" s="251">
        <f t="shared" si="23"/>
        <v>1134</v>
      </c>
      <c r="H50" s="264">
        <f>D50*B50</f>
        <v>294</v>
      </c>
      <c r="I50" s="376">
        <f t="shared" si="24"/>
        <v>6520</v>
      </c>
    </row>
    <row r="51" spans="1:9">
      <c r="A51" s="346" t="s">
        <v>142</v>
      </c>
      <c r="B51" s="58">
        <v>1</v>
      </c>
      <c r="C51" s="262">
        <v>250</v>
      </c>
      <c r="D51" s="262">
        <f t="shared" si="20"/>
        <v>87.5</v>
      </c>
      <c r="E51" s="263">
        <f t="shared" si="21"/>
        <v>337.5</v>
      </c>
      <c r="F51" s="250">
        <f t="shared" si="22"/>
        <v>250</v>
      </c>
      <c r="G51" s="251">
        <f t="shared" si="23"/>
        <v>337.5</v>
      </c>
      <c r="H51" s="264">
        <f>D51*B51</f>
        <v>87.5</v>
      </c>
      <c r="I51" s="376">
        <f t="shared" si="24"/>
        <v>40750</v>
      </c>
    </row>
    <row r="52" spans="1:9">
      <c r="A52" s="118" t="s">
        <v>140</v>
      </c>
      <c r="B52" s="119">
        <v>1</v>
      </c>
      <c r="C52" s="207">
        <v>2000</v>
      </c>
      <c r="D52" s="262">
        <f t="shared" si="20"/>
        <v>700</v>
      </c>
      <c r="E52" s="263">
        <f t="shared" si="21"/>
        <v>2700</v>
      </c>
      <c r="F52" s="250">
        <f t="shared" si="22"/>
        <v>2000</v>
      </c>
      <c r="G52" s="251">
        <f t="shared" si="23"/>
        <v>2700</v>
      </c>
      <c r="H52" s="264">
        <f>D52*B52</f>
        <v>700</v>
      </c>
      <c r="I52" s="376">
        <f t="shared" si="24"/>
        <v>326000</v>
      </c>
    </row>
    <row r="53" spans="1:9">
      <c r="A53" s="93"/>
      <c r="B53" s="58"/>
      <c r="C53" s="61"/>
      <c r="D53" s="265"/>
      <c r="E53" s="266" t="s">
        <v>9</v>
      </c>
      <c r="F53" s="267">
        <f>SUM(F48:F52)</f>
        <v>3980</v>
      </c>
      <c r="G53" s="267">
        <f>SUM(G48:G52)</f>
        <v>5373</v>
      </c>
      <c r="H53" s="267">
        <f>SUM(H48:H52)</f>
        <v>1393</v>
      </c>
    </row>
    <row r="54" spans="1:9">
      <c r="A54" s="94"/>
      <c r="B54" s="95"/>
      <c r="C54" s="96"/>
      <c r="D54" s="268"/>
      <c r="E54" s="257" t="s">
        <v>11</v>
      </c>
      <c r="F54" s="255">
        <f>F48*0.44</f>
        <v>281.60000000000002</v>
      </c>
      <c r="G54" s="255">
        <v>1760</v>
      </c>
      <c r="H54" s="255"/>
    </row>
    <row r="55" spans="1:9" ht="7.5" customHeight="1">
      <c r="A55" s="94"/>
      <c r="B55" s="95"/>
      <c r="C55" s="96"/>
      <c r="D55" s="268"/>
      <c r="E55" s="269"/>
      <c r="F55" s="269"/>
      <c r="G55" s="269"/>
      <c r="H55" s="240"/>
    </row>
    <row r="56" spans="1:9" ht="21">
      <c r="A56" s="86" t="s">
        <v>31</v>
      </c>
      <c r="B56" s="87"/>
      <c r="C56" s="87"/>
      <c r="D56" s="237"/>
      <c r="E56" s="237"/>
      <c r="F56" s="237"/>
      <c r="G56" s="237"/>
      <c r="H56" s="238"/>
    </row>
    <row r="57" spans="1:9">
      <c r="A57" s="110" t="s">
        <v>17</v>
      </c>
      <c r="B57" s="58">
        <f>B15</f>
        <v>9</v>
      </c>
      <c r="C57" s="348">
        <v>100</v>
      </c>
      <c r="D57" s="262">
        <f>C57*0.5</f>
        <v>50</v>
      </c>
      <c r="E57" s="263">
        <f t="shared" ref="E57:E60" si="25">D57+C57</f>
        <v>150</v>
      </c>
      <c r="F57" s="250">
        <f>C57*B57</f>
        <v>900</v>
      </c>
      <c r="G57" s="251">
        <f>E57*B57</f>
        <v>1350</v>
      </c>
      <c r="H57" s="264">
        <f>D57*B57</f>
        <v>450</v>
      </c>
      <c r="I57" s="376">
        <f>C57*163</f>
        <v>16300</v>
      </c>
    </row>
    <row r="58" spans="1:9">
      <c r="A58" s="110" t="s">
        <v>75</v>
      </c>
      <c r="B58" s="58">
        <v>16</v>
      </c>
      <c r="C58" s="348">
        <v>25</v>
      </c>
      <c r="D58" s="262">
        <f t="shared" ref="D58:D59" si="26">C58*0.5</f>
        <v>12.5</v>
      </c>
      <c r="E58" s="263">
        <f t="shared" si="25"/>
        <v>37.5</v>
      </c>
      <c r="F58" s="250">
        <f t="shared" ref="F58:F60" si="27">C58*B58</f>
        <v>400</v>
      </c>
      <c r="G58" s="251">
        <f t="shared" ref="G58:G60" si="28">E58*B58</f>
        <v>600</v>
      </c>
      <c r="H58" s="264">
        <f t="shared" ref="H58:H60" si="29">D58*B58</f>
        <v>200</v>
      </c>
      <c r="I58" s="376">
        <f t="shared" ref="I58:I60" si="30">C58*163</f>
        <v>4075</v>
      </c>
    </row>
    <row r="59" spans="1:9">
      <c r="A59" s="27" t="s">
        <v>225</v>
      </c>
      <c r="B59" s="58">
        <v>1</v>
      </c>
      <c r="C59" s="348">
        <v>1739.0612250000004</v>
      </c>
      <c r="D59" s="262">
        <f t="shared" si="26"/>
        <v>869.53061250000019</v>
      </c>
      <c r="E59" s="263">
        <f t="shared" si="25"/>
        <v>2608.5918375000006</v>
      </c>
      <c r="F59" s="250">
        <f t="shared" si="27"/>
        <v>1739.0612250000004</v>
      </c>
      <c r="G59" s="251">
        <f t="shared" si="28"/>
        <v>2608.5918375000006</v>
      </c>
      <c r="H59" s="264">
        <f t="shared" si="29"/>
        <v>869.53061250000019</v>
      </c>
      <c r="I59" s="376">
        <f t="shared" si="30"/>
        <v>283466.97967500007</v>
      </c>
    </row>
    <row r="60" spans="1:9">
      <c r="A60" s="27" t="s">
        <v>80</v>
      </c>
      <c r="B60" s="58">
        <v>0</v>
      </c>
      <c r="C60" s="348">
        <v>3738.9816337500001</v>
      </c>
      <c r="D60" s="262"/>
      <c r="E60" s="263">
        <f t="shared" si="25"/>
        <v>3738.9816337500001</v>
      </c>
      <c r="F60" s="250">
        <f t="shared" si="27"/>
        <v>0</v>
      </c>
      <c r="G60" s="251">
        <f t="shared" si="28"/>
        <v>0</v>
      </c>
      <c r="H60" s="264">
        <f t="shared" si="29"/>
        <v>0</v>
      </c>
      <c r="I60" s="376">
        <f t="shared" si="30"/>
        <v>609454.00630125008</v>
      </c>
    </row>
    <row r="61" spans="1:9">
      <c r="D61" s="142"/>
      <c r="E61" s="270" t="s">
        <v>9</v>
      </c>
      <c r="F61" s="244">
        <f>SUM(F57:F60)</f>
        <v>3039.0612250000004</v>
      </c>
      <c r="G61" s="244">
        <f t="shared" ref="G61:H61" si="31">SUM(G57:G60)</f>
        <v>4558.5918375000001</v>
      </c>
      <c r="H61" s="244">
        <f t="shared" si="31"/>
        <v>1519.5306125000002</v>
      </c>
    </row>
    <row r="62" spans="1:9" ht="10.5" customHeight="1">
      <c r="D62" s="245"/>
      <c r="E62" s="271"/>
      <c r="F62" s="260"/>
      <c r="G62" s="260"/>
      <c r="H62" s="261"/>
    </row>
    <row r="63" spans="1:9">
      <c r="D63" s="142"/>
      <c r="E63" s="239"/>
      <c r="F63" s="239" t="s">
        <v>2</v>
      </c>
      <c r="G63" s="239" t="s">
        <v>13</v>
      </c>
      <c r="H63" s="239" t="s">
        <v>69</v>
      </c>
    </row>
    <row r="64" spans="1:9">
      <c r="D64" s="142"/>
      <c r="E64" s="272" t="s">
        <v>76</v>
      </c>
      <c r="F64" s="272">
        <f>F61+F53+F43+F33+F25+F18</f>
        <v>22700.681225</v>
      </c>
      <c r="G64" s="272">
        <f>G61+G53+G43+G33+G25+G18</f>
        <v>31101.778837500002</v>
      </c>
      <c r="H64" s="272">
        <f>H61+H53+H43+H33+H25+H18</f>
        <v>8401.0976124999997</v>
      </c>
    </row>
    <row r="65" spans="5:8">
      <c r="E65" s="272" t="s">
        <v>77</v>
      </c>
      <c r="F65" s="272">
        <f>F26+F19+F44+F54</f>
        <v>6717.48</v>
      </c>
      <c r="G65" s="272">
        <v>6717.48</v>
      </c>
      <c r="H65" s="272">
        <f>H26+H19</f>
        <v>0</v>
      </c>
    </row>
    <row r="66" spans="5:8">
      <c r="E66" s="272" t="s">
        <v>78</v>
      </c>
      <c r="F66" s="272">
        <f>SUM(F64:F65)</f>
        <v>29418.161225</v>
      </c>
      <c r="G66" s="272">
        <f t="shared" ref="G66:H66" si="32">SUM(G64:G65)</f>
        <v>37819.258837500005</v>
      </c>
      <c r="H66" s="272">
        <f t="shared" si="32"/>
        <v>8401.0976124999997</v>
      </c>
    </row>
    <row r="67" spans="5:8">
      <c r="E67" s="272" t="s">
        <v>21</v>
      </c>
      <c r="F67" s="272">
        <f>F66*0.15</f>
        <v>4412.7241837499996</v>
      </c>
      <c r="G67" s="272">
        <f>G66*0.15</f>
        <v>5672.8888256250002</v>
      </c>
      <c r="H67" s="272"/>
    </row>
    <row r="68" spans="5:8">
      <c r="E68" s="272" t="s">
        <v>22</v>
      </c>
      <c r="F68" s="272">
        <f>F67+F66</f>
        <v>33830.88540875</v>
      </c>
      <c r="G68" s="272">
        <f t="shared" ref="G68:H68" si="33">G67+G66</f>
        <v>43492.147663125004</v>
      </c>
      <c r="H68" s="272">
        <f t="shared" si="33"/>
        <v>8401.0976124999997</v>
      </c>
    </row>
    <row r="71" spans="5:8">
      <c r="E71" s="246" t="s">
        <v>225</v>
      </c>
      <c r="F71">
        <f>G66*0.05</f>
        <v>1890.9629418750003</v>
      </c>
      <c r="G71">
        <f>G68*163</f>
        <v>7089220.0690893754</v>
      </c>
    </row>
    <row r="72" spans="5:8">
      <c r="E72" s="246" t="s">
        <v>233</v>
      </c>
      <c r="F72" s="142">
        <f>G66*0.1</f>
        <v>3781.9258837500006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13DA-30ED-4AB4-BF09-9C5808F0B654}">
  <dimension ref="A1:G49"/>
  <sheetViews>
    <sheetView topLeftCell="A8" workbookViewId="0">
      <selection activeCell="D13" sqref="D13"/>
    </sheetView>
  </sheetViews>
  <sheetFormatPr defaultRowHeight="15"/>
  <cols>
    <col min="1" max="1" width="9.140625" style="33"/>
    <col min="2" max="2" width="56.140625" style="33" customWidth="1"/>
    <col min="3" max="3" width="11.85546875" style="33" customWidth="1"/>
    <col min="4" max="4" width="5.5703125" customWidth="1"/>
    <col min="5" max="5" width="16.85546875" style="33" customWidth="1"/>
    <col min="7" max="7" width="12.5703125" bestFit="1" customWidth="1"/>
  </cols>
  <sheetData>
    <row r="1" spans="1:7" ht="30.75" customHeight="1">
      <c r="A1" s="377" t="s">
        <v>182</v>
      </c>
      <c r="B1" s="377"/>
      <c r="C1" s="377"/>
      <c r="D1" s="377"/>
      <c r="E1" s="377"/>
    </row>
    <row r="2" spans="1:7" ht="24" customHeight="1">
      <c r="A2" s="378" t="s">
        <v>246</v>
      </c>
      <c r="B2" s="378"/>
      <c r="C2" s="378"/>
      <c r="D2" s="378"/>
      <c r="E2" s="378"/>
    </row>
    <row r="3" spans="1:7">
      <c r="A3" s="38" t="s">
        <v>23</v>
      </c>
      <c r="B3" s="38" t="s">
        <v>24</v>
      </c>
      <c r="C3" s="39" t="s">
        <v>25</v>
      </c>
      <c r="D3" s="99" t="s">
        <v>1</v>
      </c>
      <c r="E3" s="39" t="s">
        <v>26</v>
      </c>
    </row>
    <row r="4" spans="1:7">
      <c r="A4" s="350">
        <v>900</v>
      </c>
      <c r="B4" s="40" t="s">
        <v>88</v>
      </c>
      <c r="C4" s="41"/>
      <c r="D4" s="42"/>
      <c r="E4" s="43"/>
    </row>
    <row r="5" spans="1:7" ht="18.75" customHeight="1">
      <c r="A5" s="104">
        <v>900.1</v>
      </c>
      <c r="B5" s="44" t="s">
        <v>227</v>
      </c>
      <c r="C5" s="185">
        <f>'Workbook EAC'!E30*163</f>
        <v>106200.531</v>
      </c>
      <c r="D5" s="104">
        <f>'Workbook EAC'!B30</f>
        <v>1</v>
      </c>
      <c r="E5" s="187">
        <f>C5*D5</f>
        <v>106200.531</v>
      </c>
      <c r="G5">
        <v>106200.531</v>
      </c>
    </row>
    <row r="6" spans="1:7" ht="18.75" customHeight="1">
      <c r="A6" s="104">
        <v>900.2</v>
      </c>
      <c r="B6" s="357" t="s">
        <v>228</v>
      </c>
      <c r="C6" s="185">
        <f>'Workbook EAC'!E31*163</f>
        <v>125868.6</v>
      </c>
      <c r="D6" s="104">
        <f>'Workbook EAC'!B31</f>
        <v>1</v>
      </c>
      <c r="E6" s="187">
        <f>C6*D6</f>
        <v>125868.6</v>
      </c>
      <c r="G6">
        <v>125868.6</v>
      </c>
    </row>
    <row r="7" spans="1:7" ht="18.75" customHeight="1">
      <c r="A7" s="388"/>
      <c r="B7" s="389"/>
      <c r="C7" s="379" t="s">
        <v>89</v>
      </c>
      <c r="D7" s="380"/>
      <c r="E7" s="188">
        <f>SUM(E5:E6)</f>
        <v>232069.13099999999</v>
      </c>
    </row>
    <row r="8" spans="1:7" ht="18.75" customHeight="1">
      <c r="A8" s="100">
        <v>1000</v>
      </c>
      <c r="B8" s="163" t="s">
        <v>70</v>
      </c>
      <c r="C8" s="189"/>
      <c r="D8" s="190"/>
      <c r="E8" s="190"/>
    </row>
    <row r="9" spans="1:7" ht="57" customHeight="1">
      <c r="A9" s="102">
        <v>1000.1</v>
      </c>
      <c r="B9" s="164" t="s">
        <v>229</v>
      </c>
      <c r="C9" s="185">
        <f>'Workbook EAC'!E3*163</f>
        <v>143032.5</v>
      </c>
      <c r="D9" s="104">
        <f>'Workbook EAC'!B3</f>
        <v>7</v>
      </c>
      <c r="E9" s="187">
        <f t="shared" ref="E9:E22" si="0">C9*D9</f>
        <v>1001227.5</v>
      </c>
      <c r="G9">
        <v>143032.5</v>
      </c>
    </row>
    <row r="10" spans="1:7" ht="21" customHeight="1">
      <c r="A10" s="102">
        <v>1000.4</v>
      </c>
      <c r="B10" s="164" t="s">
        <v>230</v>
      </c>
      <c r="C10" s="185">
        <f>'Workbook EAC'!E4*163</f>
        <v>11002.5</v>
      </c>
      <c r="D10" s="104">
        <f>'Workbook EAC'!B4</f>
        <v>7</v>
      </c>
      <c r="E10" s="187">
        <f t="shared" si="0"/>
        <v>77017.5</v>
      </c>
      <c r="G10">
        <v>11002.5</v>
      </c>
    </row>
    <row r="11" spans="1:7" ht="18.75" customHeight="1">
      <c r="A11" s="102">
        <v>1000.5</v>
      </c>
      <c r="B11" s="164" t="s">
        <v>168</v>
      </c>
      <c r="C11" s="185">
        <f>'Workbook EAC'!E5*163</f>
        <v>250449.9075</v>
      </c>
      <c r="D11" s="104">
        <f>'Workbook EAC'!B5</f>
        <v>1</v>
      </c>
      <c r="E11" s="187">
        <f t="shared" si="0"/>
        <v>250449.9075</v>
      </c>
      <c r="G11">
        <v>250449.9075</v>
      </c>
    </row>
    <row r="12" spans="1:7" ht="28.5" customHeight="1">
      <c r="A12" s="102">
        <v>1000.7</v>
      </c>
      <c r="B12" s="164" t="s">
        <v>169</v>
      </c>
      <c r="C12" s="185">
        <f>'Workbook EAC'!E6*163</f>
        <v>36187.222499999996</v>
      </c>
      <c r="D12" s="104">
        <f>'Workbook EAC'!B6</f>
        <v>1</v>
      </c>
      <c r="E12" s="187">
        <f t="shared" si="0"/>
        <v>36187.222499999996</v>
      </c>
      <c r="G12">
        <v>36187.222500000003</v>
      </c>
    </row>
    <row r="13" spans="1:7" ht="30" customHeight="1">
      <c r="A13" s="102">
        <v>1000.8000000000001</v>
      </c>
      <c r="B13" s="164" t="s">
        <v>170</v>
      </c>
      <c r="C13" s="185">
        <f>'Workbook EAC'!E7*163</f>
        <v>53351.122499999998</v>
      </c>
      <c r="D13" s="104">
        <f>'Workbook EAC'!B7</f>
        <v>1</v>
      </c>
      <c r="E13" s="187">
        <f t="shared" si="0"/>
        <v>53351.122499999998</v>
      </c>
      <c r="G13">
        <v>53351.122499999998</v>
      </c>
    </row>
    <row r="14" spans="1:7" ht="56.25" customHeight="1">
      <c r="A14" s="102">
        <v>1000.9</v>
      </c>
      <c r="B14" s="164" t="s">
        <v>171</v>
      </c>
      <c r="C14" s="185">
        <f>'Workbook EAC'!E8*163</f>
        <v>48774.082500000004</v>
      </c>
      <c r="D14" s="104">
        <f>'Workbook EAC'!B8</f>
        <v>1</v>
      </c>
      <c r="E14" s="187">
        <f t="shared" si="0"/>
        <v>48774.082500000004</v>
      </c>
      <c r="G14" s="373">
        <v>48774.082499999997</v>
      </c>
    </row>
    <row r="15" spans="1:7" ht="26.25" customHeight="1">
      <c r="A15" s="116">
        <v>1000.1</v>
      </c>
      <c r="B15" s="164" t="s">
        <v>172</v>
      </c>
      <c r="C15" s="185">
        <f>'Workbook EAC'!E9*163</f>
        <v>9011.0475000000006</v>
      </c>
      <c r="D15" s="104">
        <f>'Workbook EAC'!B9</f>
        <v>1</v>
      </c>
      <c r="E15" s="187">
        <f t="shared" si="0"/>
        <v>9011.0475000000006</v>
      </c>
      <c r="G15" s="373">
        <v>9011.0475000000006</v>
      </c>
    </row>
    <row r="16" spans="1:7" ht="26.25" customHeight="1">
      <c r="A16" s="116">
        <v>1000.11</v>
      </c>
      <c r="B16" s="164" t="s">
        <v>173</v>
      </c>
      <c r="C16" s="185">
        <f>'Workbook EAC'!E10*163</f>
        <v>28320.434999999998</v>
      </c>
      <c r="D16" s="104">
        <f>'Workbook EAC'!B10</f>
        <v>1</v>
      </c>
      <c r="E16" s="187">
        <f t="shared" si="0"/>
        <v>28320.434999999998</v>
      </c>
      <c r="G16" s="373">
        <v>28320.435000000001</v>
      </c>
    </row>
    <row r="17" spans="1:7" ht="27.75" customHeight="1">
      <c r="A17" s="116">
        <v>1000.13</v>
      </c>
      <c r="B17" s="164" t="s">
        <v>174</v>
      </c>
      <c r="C17" s="185">
        <f>'Workbook EAC'!E11*163</f>
        <v>35758.125</v>
      </c>
      <c r="D17" s="104">
        <f>'Workbook EAC'!B11</f>
        <v>1</v>
      </c>
      <c r="E17" s="187">
        <f t="shared" si="0"/>
        <v>35758.125</v>
      </c>
      <c r="G17" s="373">
        <v>35758.125</v>
      </c>
    </row>
    <row r="18" spans="1:7" ht="56.45" customHeight="1">
      <c r="A18" s="116">
        <v>1000.15</v>
      </c>
      <c r="B18" s="164" t="s">
        <v>184</v>
      </c>
      <c r="C18" s="185">
        <f>'Workbook EAC'!E12*163</f>
        <v>43338.847499999996</v>
      </c>
      <c r="D18" s="104">
        <f>'Workbook EAC'!B12</f>
        <v>1</v>
      </c>
      <c r="E18" s="187">
        <f t="shared" si="0"/>
        <v>43338.847499999996</v>
      </c>
      <c r="G18" s="373">
        <v>43338.847500000003</v>
      </c>
    </row>
    <row r="19" spans="1:7" ht="27.75" customHeight="1">
      <c r="A19" s="116">
        <v>1000.16</v>
      </c>
      <c r="B19" s="164" t="s">
        <v>175</v>
      </c>
      <c r="C19" s="185">
        <f>'Workbook EAC'!E13*163</f>
        <v>73375.672500000001</v>
      </c>
      <c r="D19" s="104">
        <f>'Workbook EAC'!B13</f>
        <v>16</v>
      </c>
      <c r="E19" s="187">
        <f t="shared" si="0"/>
        <v>1174010.76</v>
      </c>
      <c r="G19" s="373">
        <v>73375.672500000001</v>
      </c>
    </row>
    <row r="20" spans="1:7" ht="18.75" customHeight="1">
      <c r="A20" s="116">
        <v>1000.17</v>
      </c>
      <c r="B20" s="44" t="s">
        <v>165</v>
      </c>
      <c r="C20" s="185">
        <f>'Workbook EAC'!E14*163</f>
        <v>8581.9499999999989</v>
      </c>
      <c r="D20" s="104">
        <f>'Workbook EAC'!B14</f>
        <v>2</v>
      </c>
      <c r="E20" s="187">
        <f t="shared" si="0"/>
        <v>17163.899999999998</v>
      </c>
      <c r="G20" s="373">
        <v>8581.9500000000007</v>
      </c>
    </row>
    <row r="21" spans="1:7" ht="28.5" customHeight="1">
      <c r="A21" s="116">
        <v>1000.18</v>
      </c>
      <c r="B21" s="44" t="s">
        <v>166</v>
      </c>
      <c r="C21" s="185">
        <f>'Workbook EAC'!E15*163</f>
        <v>18704.25</v>
      </c>
      <c r="D21" s="104">
        <f>'Workbook EAC'!B15</f>
        <v>9</v>
      </c>
      <c r="E21" s="187">
        <f t="shared" si="0"/>
        <v>168338.25</v>
      </c>
      <c r="G21" s="373">
        <v>18704.25</v>
      </c>
    </row>
    <row r="22" spans="1:7" ht="27.75" customHeight="1">
      <c r="A22" s="116">
        <v>1000.19</v>
      </c>
      <c r="B22" s="44" t="s">
        <v>167</v>
      </c>
      <c r="C22" s="185">
        <f>'Workbook EAC'!E16*163</f>
        <v>11662.65</v>
      </c>
      <c r="D22" s="104">
        <f>'Workbook EAC'!B16</f>
        <v>1</v>
      </c>
      <c r="E22" s="187">
        <f t="shared" si="0"/>
        <v>11662.65</v>
      </c>
      <c r="G22" s="373">
        <v>11662.65</v>
      </c>
    </row>
    <row r="23" spans="1:7" ht="18.75" customHeight="1">
      <c r="A23" s="108"/>
      <c r="B23" s="45"/>
      <c r="C23" s="379" t="s">
        <v>90</v>
      </c>
      <c r="D23" s="380"/>
      <c r="E23" s="188">
        <f>SUM(E9:E22)</f>
        <v>2954611.3499999996</v>
      </c>
      <c r="G23" s="373"/>
    </row>
    <row r="24" spans="1:7" ht="18.75" customHeight="1">
      <c r="A24" s="100">
        <v>1100</v>
      </c>
      <c r="B24" s="40" t="s">
        <v>74</v>
      </c>
      <c r="C24" s="189"/>
      <c r="D24" s="190"/>
      <c r="E24" s="189"/>
      <c r="G24" s="373"/>
    </row>
    <row r="25" spans="1:7" ht="27.75" customHeight="1">
      <c r="A25" s="102">
        <v>1100.1000000000001</v>
      </c>
      <c r="B25" s="44" t="s">
        <v>180</v>
      </c>
      <c r="C25" s="185">
        <f>'Workbook EAC'!E48*163</f>
        <v>35208</v>
      </c>
      <c r="D25" s="347">
        <f>'Workbook EAC'!B48</f>
        <v>4</v>
      </c>
      <c r="E25" s="187">
        <f>C25*D25</f>
        <v>140832</v>
      </c>
      <c r="G25" s="373">
        <v>35208</v>
      </c>
    </row>
    <row r="26" spans="1:7" ht="18.75" customHeight="1">
      <c r="A26" s="102">
        <v>1100.2</v>
      </c>
      <c r="B26" s="44" t="s">
        <v>144</v>
      </c>
      <c r="C26" s="185">
        <f>'Workbook EAC'!E49*163</f>
        <v>55012.5</v>
      </c>
      <c r="D26" s="347">
        <f>'Workbook EAC'!B49</f>
        <v>1</v>
      </c>
      <c r="E26" s="187">
        <f t="shared" ref="E26:E28" si="1">C26*D26</f>
        <v>55012.5</v>
      </c>
      <c r="G26" s="373">
        <v>55012.5</v>
      </c>
    </row>
    <row r="27" spans="1:7" ht="18.75" customHeight="1">
      <c r="A27" s="102">
        <v>1100.3</v>
      </c>
      <c r="B27" s="44" t="s">
        <v>143</v>
      </c>
      <c r="C27" s="185">
        <f>'Workbook EAC'!E50*163</f>
        <v>8802</v>
      </c>
      <c r="D27" s="347">
        <f>'Workbook EAC'!B50</f>
        <v>21</v>
      </c>
      <c r="E27" s="187">
        <f t="shared" si="1"/>
        <v>184842</v>
      </c>
      <c r="G27">
        <v>8802</v>
      </c>
    </row>
    <row r="28" spans="1:7" ht="18.75" customHeight="1">
      <c r="A28" s="102">
        <v>1100.4000000000001</v>
      </c>
      <c r="B28" s="44" t="s">
        <v>142</v>
      </c>
      <c r="C28" s="185">
        <f>'Workbook EAC'!E51*163</f>
        <v>55012.5</v>
      </c>
      <c r="D28" s="347">
        <f>'Workbook EAC'!B51</f>
        <v>1</v>
      </c>
      <c r="E28" s="187">
        <f t="shared" si="1"/>
        <v>55012.5</v>
      </c>
      <c r="G28" s="374">
        <v>55012.5</v>
      </c>
    </row>
    <row r="29" spans="1:7" ht="18.75" customHeight="1">
      <c r="A29" s="108"/>
      <c r="B29" s="45"/>
      <c r="C29" s="379" t="s">
        <v>87</v>
      </c>
      <c r="D29" s="380"/>
      <c r="E29" s="188">
        <f>SUM(E25:E28)</f>
        <v>435699</v>
      </c>
    </row>
    <row r="30" spans="1:7" ht="18.75" customHeight="1">
      <c r="A30" s="100">
        <v>1200</v>
      </c>
      <c r="B30" s="40" t="s">
        <v>31</v>
      </c>
      <c r="C30" s="189"/>
      <c r="D30" s="190"/>
      <c r="E30" s="189"/>
    </row>
    <row r="31" spans="1:7" ht="29.25" customHeight="1">
      <c r="A31" s="102">
        <v>1200.1000000000001</v>
      </c>
      <c r="B31" s="46" t="s">
        <v>148</v>
      </c>
      <c r="C31" s="187">
        <f>'Workbook EAC'!E57*163</f>
        <v>24450</v>
      </c>
      <c r="D31" s="205">
        <f>'Workbook EAC'!B57</f>
        <v>9</v>
      </c>
      <c r="E31" s="187">
        <f>C31*D31</f>
        <v>220050</v>
      </c>
    </row>
    <row r="32" spans="1:7" ht="17.25" customHeight="1">
      <c r="A32" s="102">
        <v>1200.2</v>
      </c>
      <c r="B32" s="46" t="s">
        <v>149</v>
      </c>
      <c r="C32" s="187">
        <f>'Workbook EAC'!E58*163</f>
        <v>6112.5</v>
      </c>
      <c r="D32" s="205">
        <f>'Workbook EAC'!B58</f>
        <v>16</v>
      </c>
      <c r="E32" s="187">
        <f t="shared" ref="E32:E33" si="2">C32*D32</f>
        <v>97800</v>
      </c>
    </row>
    <row r="33" spans="1:7" ht="17.25" customHeight="1">
      <c r="A33" s="102">
        <v>1200.3</v>
      </c>
      <c r="B33" s="360" t="s">
        <v>232</v>
      </c>
      <c r="C33" s="187">
        <f>'Workbook EAC'!E59*163</f>
        <v>425200.4695125001</v>
      </c>
      <c r="D33" s="205">
        <f>'Workbook EAC'!B59</f>
        <v>1</v>
      </c>
      <c r="E33" s="187">
        <f t="shared" si="2"/>
        <v>425200.4695125001</v>
      </c>
    </row>
    <row r="34" spans="1:7" ht="18.75" customHeight="1">
      <c r="B34" s="151"/>
      <c r="C34" s="392" t="s">
        <v>91</v>
      </c>
      <c r="D34" s="380"/>
      <c r="E34" s="194">
        <f>SUM(E31:E33)</f>
        <v>743050.4695125001</v>
      </c>
    </row>
    <row r="35" spans="1:7" ht="18.75" customHeight="1">
      <c r="A35" s="109">
        <v>1200.5</v>
      </c>
      <c r="B35" s="46" t="s">
        <v>80</v>
      </c>
      <c r="C35" s="187">
        <f>'Workbook EAC'!E60*163</f>
        <v>609454.00630125008</v>
      </c>
      <c r="D35" s="186">
        <f>'Workbook EAC'!B60</f>
        <v>0</v>
      </c>
      <c r="E35" s="187">
        <f t="shared" ref="E35" si="3">C35*D35</f>
        <v>0</v>
      </c>
    </row>
    <row r="36" spans="1:7" ht="18.75" customHeight="1">
      <c r="A36" s="113"/>
      <c r="B36" s="45"/>
      <c r="C36" s="379" t="s">
        <v>91</v>
      </c>
      <c r="D36" s="380"/>
      <c r="E36" s="188">
        <f>E35</f>
        <v>0</v>
      </c>
    </row>
    <row r="37" spans="1:7" ht="18.75" customHeight="1">
      <c r="A37" s="331">
        <v>1300</v>
      </c>
      <c r="B37" s="40" t="s">
        <v>20</v>
      </c>
      <c r="C37" s="189"/>
      <c r="D37" s="190"/>
      <c r="E37" s="189"/>
      <c r="G37">
        <v>1174415</v>
      </c>
    </row>
    <row r="38" spans="1:7" ht="18.75" customHeight="1">
      <c r="A38" s="102">
        <v>1300.0999999999999</v>
      </c>
      <c r="B38" s="46" t="s">
        <v>151</v>
      </c>
      <c r="C38" s="187">
        <f>'Workbook EAC'!E17*163</f>
        <v>264060</v>
      </c>
      <c r="D38" s="347">
        <v>1</v>
      </c>
      <c r="E38" s="187">
        <f>C38*D38</f>
        <v>264060</v>
      </c>
      <c r="G38">
        <v>2346491.9279999998</v>
      </c>
    </row>
    <row r="39" spans="1:7" ht="28.5" customHeight="1">
      <c r="A39" s="102">
        <v>1300.2</v>
      </c>
      <c r="B39" s="46" t="s">
        <v>152</v>
      </c>
      <c r="C39" s="187">
        <f>'Workbook EAC'!G65*163</f>
        <v>1094949.24</v>
      </c>
      <c r="D39" s="347">
        <v>1</v>
      </c>
      <c r="E39" s="187">
        <f>C39*D39</f>
        <v>1094949.24</v>
      </c>
    </row>
    <row r="40" spans="1:7" ht="18.75" customHeight="1">
      <c r="A40" s="113"/>
      <c r="B40" s="117"/>
      <c r="C40" s="390" t="s">
        <v>92</v>
      </c>
      <c r="D40" s="390"/>
      <c r="E40" s="188">
        <f>SUM(E38:E39)</f>
        <v>1359009.24</v>
      </c>
    </row>
    <row r="41" spans="1:7" ht="8.25" customHeight="1">
      <c r="A41" s="114"/>
      <c r="B41" s="115"/>
      <c r="C41" s="195"/>
      <c r="D41" s="273"/>
      <c r="E41" s="196"/>
    </row>
    <row r="42" spans="1:7" ht="15.75">
      <c r="A42" s="382"/>
      <c r="B42" s="383"/>
      <c r="C42" s="391" t="s">
        <v>19</v>
      </c>
      <c r="D42" s="391"/>
      <c r="E42" s="197">
        <f>E40+E36+E34+E29+E23+E7</f>
        <v>5724439.1905124998</v>
      </c>
    </row>
    <row r="43" spans="1:7" ht="15.75">
      <c r="A43" s="384"/>
      <c r="B43" s="385"/>
      <c r="C43" s="381" t="s">
        <v>21</v>
      </c>
      <c r="D43" s="381"/>
      <c r="E43" s="198">
        <f>E42*0.15</f>
        <v>858665.87857687497</v>
      </c>
    </row>
    <row r="44" spans="1:7" ht="15.75">
      <c r="A44" s="386"/>
      <c r="B44" s="387"/>
      <c r="C44" s="381" t="s">
        <v>13</v>
      </c>
      <c r="D44" s="381"/>
      <c r="E44" s="199">
        <f>E42+E43</f>
        <v>6583105.0690893745</v>
      </c>
    </row>
    <row r="47" spans="1:7">
      <c r="E47" s="178">
        <f>E38+'VSS BoM'!E40</f>
        <v>1174415</v>
      </c>
      <c r="G47">
        <v>1174415</v>
      </c>
    </row>
    <row r="48" spans="1:7">
      <c r="E48" s="178">
        <f>E39+'VSS BoM'!E41</f>
        <v>2346491.9279999998</v>
      </c>
      <c r="G48">
        <v>2346491.9279999998</v>
      </c>
    </row>
    <row r="49" spans="5:5">
      <c r="E49" s="178"/>
    </row>
  </sheetData>
  <mergeCells count="13">
    <mergeCell ref="A1:E1"/>
    <mergeCell ref="A2:E2"/>
    <mergeCell ref="C7:D7"/>
    <mergeCell ref="C44:D44"/>
    <mergeCell ref="A42:B44"/>
    <mergeCell ref="A7:B7"/>
    <mergeCell ref="C29:D29"/>
    <mergeCell ref="C36:D36"/>
    <mergeCell ref="C40:D40"/>
    <mergeCell ref="C42:D42"/>
    <mergeCell ref="C43:D43"/>
    <mergeCell ref="C23:D23"/>
    <mergeCell ref="C34:D34"/>
  </mergeCells>
  <pageMargins left="0.3125" right="0.34375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C620-745A-4290-9C3B-A3AF9F0B6785}">
  <dimension ref="A1:H42"/>
  <sheetViews>
    <sheetView workbookViewId="0">
      <selection activeCell="F19" sqref="F19"/>
    </sheetView>
  </sheetViews>
  <sheetFormatPr defaultRowHeight="15"/>
  <cols>
    <col min="1" max="1" width="21" bestFit="1" customWidth="1"/>
    <col min="3" max="3" width="10.7109375" customWidth="1"/>
    <col min="4" max="4" width="10.5703125" customWidth="1"/>
    <col min="5" max="5" width="11.5703125" customWidth="1"/>
    <col min="6" max="6" width="12.85546875" customWidth="1"/>
    <col min="7" max="7" width="12.7109375" customWidth="1"/>
    <col min="8" max="8" width="11.5703125" customWidth="1"/>
    <col min="10" max="10" width="11.5703125" bestFit="1" customWidth="1"/>
  </cols>
  <sheetData>
    <row r="1" spans="1:8">
      <c r="A1" s="136" t="s">
        <v>0</v>
      </c>
      <c r="B1" s="83" t="s">
        <v>66</v>
      </c>
      <c r="C1" s="83" t="s">
        <v>67</v>
      </c>
      <c r="D1" s="83" t="s">
        <v>68</v>
      </c>
      <c r="E1" s="83" t="s">
        <v>4</v>
      </c>
      <c r="F1" s="83" t="s">
        <v>2</v>
      </c>
      <c r="G1" s="83" t="s">
        <v>13</v>
      </c>
      <c r="H1" s="83" t="s">
        <v>69</v>
      </c>
    </row>
    <row r="2" spans="1:8" s="137" customFormat="1">
      <c r="A2" s="1" t="s">
        <v>8</v>
      </c>
      <c r="B2" s="133"/>
      <c r="C2" s="2"/>
      <c r="D2" s="2"/>
      <c r="E2" s="2"/>
      <c r="F2" s="2"/>
      <c r="G2" s="2"/>
      <c r="H2" s="2"/>
    </row>
    <row r="3" spans="1:8">
      <c r="A3" s="110"/>
      <c r="B3" s="58"/>
      <c r="C3" s="107"/>
      <c r="D3" s="207">
        <f t="shared" ref="D3:D6" si="0">C3*25%</f>
        <v>0</v>
      </c>
      <c r="E3" s="208">
        <f t="shared" ref="E3:E6" si="1">C3+D3</f>
        <v>0</v>
      </c>
      <c r="F3" s="209">
        <f t="shared" ref="F3:F6" si="2">B3*C3</f>
        <v>0</v>
      </c>
      <c r="G3" s="210">
        <f t="shared" ref="G3:G6" si="3">E3*B3</f>
        <v>0</v>
      </c>
      <c r="H3" s="211">
        <f t="shared" ref="H3:H6" si="4">D3*B3</f>
        <v>0</v>
      </c>
    </row>
    <row r="4" spans="1:8" ht="15.75" customHeight="1">
      <c r="A4" s="48"/>
      <c r="B4" s="16"/>
      <c r="C4" s="66"/>
      <c r="D4" s="207">
        <f t="shared" si="0"/>
        <v>0</v>
      </c>
      <c r="E4" s="208">
        <f t="shared" si="1"/>
        <v>0</v>
      </c>
      <c r="F4" s="209">
        <f t="shared" si="2"/>
        <v>0</v>
      </c>
      <c r="G4" s="210">
        <f t="shared" si="3"/>
        <v>0</v>
      </c>
      <c r="H4" s="211">
        <f t="shared" si="4"/>
        <v>0</v>
      </c>
    </row>
    <row r="5" spans="1:8">
      <c r="A5" s="48"/>
      <c r="B5" s="16"/>
      <c r="C5" s="66"/>
      <c r="D5" s="207">
        <f t="shared" si="0"/>
        <v>0</v>
      </c>
      <c r="E5" s="208">
        <f t="shared" si="1"/>
        <v>0</v>
      </c>
      <c r="F5" s="209">
        <f t="shared" si="2"/>
        <v>0</v>
      </c>
      <c r="G5" s="210">
        <f t="shared" si="3"/>
        <v>0</v>
      </c>
      <c r="H5" s="211">
        <f t="shared" si="4"/>
        <v>0</v>
      </c>
    </row>
    <row r="6" spans="1:8" s="23" customFormat="1">
      <c r="A6" s="139"/>
      <c r="B6" s="16"/>
      <c r="C6" s="17"/>
      <c r="D6" s="207">
        <f t="shared" si="0"/>
        <v>0</v>
      </c>
      <c r="E6" s="208">
        <f t="shared" si="1"/>
        <v>0</v>
      </c>
      <c r="F6" s="209">
        <f t="shared" si="2"/>
        <v>0</v>
      </c>
      <c r="G6" s="210">
        <f t="shared" si="3"/>
        <v>0</v>
      </c>
      <c r="H6" s="211">
        <f t="shared" si="4"/>
        <v>0</v>
      </c>
    </row>
    <row r="7" spans="1:8" s="23" customFormat="1">
      <c r="A7" s="138"/>
      <c r="B7" s="37"/>
      <c r="D7" s="178"/>
      <c r="E7" s="274" t="s">
        <v>9</v>
      </c>
      <c r="F7" s="275">
        <f>SUM(F3:F6)</f>
        <v>0</v>
      </c>
      <c r="G7" s="275">
        <f t="shared" ref="G7:H7" si="5">SUM(G3:G6)</f>
        <v>0</v>
      </c>
      <c r="H7" s="275">
        <f t="shared" si="5"/>
        <v>0</v>
      </c>
    </row>
    <row r="8" spans="1:8" s="23" customFormat="1" ht="12" customHeight="1">
      <c r="A8" s="138"/>
      <c r="B8" s="37"/>
      <c r="D8" s="178"/>
      <c r="E8" s="276"/>
      <c r="F8" s="178"/>
      <c r="G8" s="178"/>
      <c r="H8" s="178"/>
    </row>
    <row r="9" spans="1:8" s="23" customFormat="1">
      <c r="A9" s="136" t="s">
        <v>0</v>
      </c>
      <c r="B9" s="83" t="s">
        <v>66</v>
      </c>
      <c r="C9" s="83" t="s">
        <v>67</v>
      </c>
      <c r="D9" s="226" t="s">
        <v>68</v>
      </c>
      <c r="E9" s="226" t="s">
        <v>4</v>
      </c>
      <c r="F9" s="226" t="s">
        <v>2</v>
      </c>
      <c r="G9" s="226" t="s">
        <v>13</v>
      </c>
      <c r="H9" s="226" t="s">
        <v>69</v>
      </c>
    </row>
    <row r="10" spans="1:8" ht="21">
      <c r="A10" s="74" t="s">
        <v>70</v>
      </c>
      <c r="B10" s="75"/>
      <c r="C10" s="75"/>
      <c r="D10" s="225"/>
      <c r="E10" s="225"/>
      <c r="F10" s="225"/>
      <c r="G10" s="225"/>
      <c r="H10" s="225"/>
    </row>
    <row r="11" spans="1:8">
      <c r="A11" s="110"/>
      <c r="B11" s="58"/>
      <c r="C11" s="111"/>
      <c r="D11" s="207">
        <f>C11*25%</f>
        <v>0</v>
      </c>
      <c r="E11" s="208">
        <f t="shared" ref="E11:E18" si="6">C11+D11</f>
        <v>0</v>
      </c>
      <c r="F11" s="209">
        <f t="shared" ref="F11:F18" si="7">B11*C11</f>
        <v>0</v>
      </c>
      <c r="G11" s="210">
        <f t="shared" ref="G11:G18" si="8">E11*B11</f>
        <v>0</v>
      </c>
      <c r="H11" s="211">
        <f t="shared" ref="H11:H18" si="9">D11*B11</f>
        <v>0</v>
      </c>
    </row>
    <row r="12" spans="1:8">
      <c r="A12" s="110"/>
      <c r="B12" s="58"/>
      <c r="C12" s="111"/>
      <c r="D12" s="207">
        <f t="shared" ref="D12:D18" si="10">C12*25%</f>
        <v>0</v>
      </c>
      <c r="E12" s="208">
        <f t="shared" si="6"/>
        <v>0</v>
      </c>
      <c r="F12" s="209">
        <f t="shared" si="7"/>
        <v>0</v>
      </c>
      <c r="G12" s="210">
        <f t="shared" si="8"/>
        <v>0</v>
      </c>
      <c r="H12" s="211">
        <f t="shared" si="9"/>
        <v>0</v>
      </c>
    </row>
    <row r="13" spans="1:8">
      <c r="A13" s="110"/>
      <c r="B13" s="58"/>
      <c r="C13" s="111"/>
      <c r="D13" s="207">
        <f t="shared" si="10"/>
        <v>0</v>
      </c>
      <c r="E13" s="208">
        <f t="shared" si="6"/>
        <v>0</v>
      </c>
      <c r="F13" s="209">
        <f t="shared" si="7"/>
        <v>0</v>
      </c>
      <c r="G13" s="210">
        <f t="shared" si="8"/>
        <v>0</v>
      </c>
      <c r="H13" s="211">
        <f t="shared" si="9"/>
        <v>0</v>
      </c>
    </row>
    <row r="14" spans="1:8">
      <c r="A14" s="110"/>
      <c r="B14" s="58"/>
      <c r="C14" s="111"/>
      <c r="D14" s="207">
        <f t="shared" si="10"/>
        <v>0</v>
      </c>
      <c r="E14" s="208">
        <f t="shared" si="6"/>
        <v>0</v>
      </c>
      <c r="F14" s="209">
        <f t="shared" si="7"/>
        <v>0</v>
      </c>
      <c r="G14" s="210">
        <f t="shared" si="8"/>
        <v>0</v>
      </c>
      <c r="H14" s="211">
        <f t="shared" si="9"/>
        <v>0</v>
      </c>
    </row>
    <row r="15" spans="1:8">
      <c r="A15" s="110"/>
      <c r="B15" s="58"/>
      <c r="C15" s="111"/>
      <c r="D15" s="207">
        <f t="shared" si="10"/>
        <v>0</v>
      </c>
      <c r="E15" s="208">
        <f t="shared" si="6"/>
        <v>0</v>
      </c>
      <c r="F15" s="209">
        <f t="shared" si="7"/>
        <v>0</v>
      </c>
      <c r="G15" s="210">
        <f t="shared" si="8"/>
        <v>0</v>
      </c>
      <c r="H15" s="211">
        <f t="shared" si="9"/>
        <v>0</v>
      </c>
    </row>
    <row r="16" spans="1:8">
      <c r="A16" s="110"/>
      <c r="B16" s="58"/>
      <c r="C16" s="111"/>
      <c r="D16" s="207">
        <f>C16*25%</f>
        <v>0</v>
      </c>
      <c r="E16" s="208">
        <f t="shared" si="6"/>
        <v>0</v>
      </c>
      <c r="F16" s="209">
        <f t="shared" si="7"/>
        <v>0</v>
      </c>
      <c r="G16" s="210">
        <f t="shared" si="8"/>
        <v>0</v>
      </c>
      <c r="H16" s="211">
        <f t="shared" si="9"/>
        <v>0</v>
      </c>
    </row>
    <row r="17" spans="1:8">
      <c r="A17" s="110"/>
      <c r="B17" s="58"/>
      <c r="C17" s="111"/>
      <c r="D17" s="207">
        <f t="shared" si="10"/>
        <v>0</v>
      </c>
      <c r="E17" s="208">
        <f t="shared" si="6"/>
        <v>0</v>
      </c>
      <c r="F17" s="209">
        <f t="shared" si="7"/>
        <v>0</v>
      </c>
      <c r="G17" s="210">
        <f t="shared" si="8"/>
        <v>0</v>
      </c>
      <c r="H17" s="211">
        <f t="shared" si="9"/>
        <v>0</v>
      </c>
    </row>
    <row r="18" spans="1:8">
      <c r="A18" s="118"/>
      <c r="B18" s="119"/>
      <c r="C18" s="120"/>
      <c r="D18" s="212">
        <f t="shared" si="10"/>
        <v>0</v>
      </c>
      <c r="E18" s="213">
        <f t="shared" si="6"/>
        <v>0</v>
      </c>
      <c r="F18" s="214">
        <f t="shared" si="7"/>
        <v>0</v>
      </c>
      <c r="G18" s="215">
        <f t="shared" si="8"/>
        <v>0</v>
      </c>
      <c r="H18" s="216">
        <f t="shared" si="9"/>
        <v>0</v>
      </c>
    </row>
    <row r="19" spans="1:8" ht="15.75">
      <c r="A19" s="76"/>
      <c r="B19" s="77"/>
      <c r="C19" s="78"/>
      <c r="D19" s="131"/>
      <c r="E19" s="217" t="s">
        <v>9</v>
      </c>
      <c r="F19" s="218">
        <f>SUM(F11:F18)</f>
        <v>0</v>
      </c>
      <c r="G19" s="218">
        <f>SUM(G11:G18)</f>
        <v>0</v>
      </c>
      <c r="H19" s="218">
        <f>SUM(H11:H18)</f>
        <v>0</v>
      </c>
    </row>
    <row r="20" spans="1:8" ht="15.75">
      <c r="A20" s="79"/>
      <c r="B20" s="140"/>
      <c r="C20" s="81"/>
      <c r="D20" s="219"/>
      <c r="E20" s="274" t="s">
        <v>71</v>
      </c>
      <c r="F20" s="221">
        <f>F19*50%</f>
        <v>0</v>
      </c>
      <c r="G20" s="222">
        <f>F20</f>
        <v>0</v>
      </c>
      <c r="H20" s="221"/>
    </row>
    <row r="21" spans="1:8">
      <c r="D21" s="142"/>
      <c r="E21" s="142"/>
      <c r="F21" s="142"/>
      <c r="G21" s="142"/>
      <c r="H21" s="142"/>
    </row>
    <row r="22" spans="1:8" ht="21">
      <c r="A22" s="86" t="s">
        <v>74</v>
      </c>
      <c r="B22" s="87"/>
      <c r="C22" s="87"/>
      <c r="D22" s="237"/>
      <c r="E22" s="237"/>
      <c r="F22" s="237"/>
      <c r="G22" s="237"/>
      <c r="H22" s="238"/>
    </row>
    <row r="23" spans="1:8" ht="21">
      <c r="A23" s="92"/>
      <c r="B23" s="89" t="s">
        <v>66</v>
      </c>
      <c r="C23" s="89" t="s">
        <v>67</v>
      </c>
      <c r="D23" s="239" t="s">
        <v>68</v>
      </c>
      <c r="E23" s="239" t="s">
        <v>4</v>
      </c>
      <c r="F23" s="226" t="s">
        <v>2</v>
      </c>
      <c r="G23" s="239" t="s">
        <v>13</v>
      </c>
      <c r="H23" s="239" t="s">
        <v>69</v>
      </c>
    </row>
    <row r="24" spans="1:8">
      <c r="A24" s="112"/>
      <c r="B24" s="58"/>
      <c r="C24" s="107"/>
      <c r="D24" s="262">
        <f>C24*25%</f>
        <v>0</v>
      </c>
      <c r="E24" s="263">
        <f>D24+C24</f>
        <v>0</v>
      </c>
      <c r="F24" s="250">
        <f>C24*B24</f>
        <v>0</v>
      </c>
      <c r="G24" s="251">
        <f>E24*B24</f>
        <v>0</v>
      </c>
      <c r="H24" s="264">
        <f>D24*B24</f>
        <v>0</v>
      </c>
    </row>
    <row r="25" spans="1:8">
      <c r="A25" s="112"/>
      <c r="B25" s="58"/>
      <c r="C25" s="107"/>
      <c r="D25" s="262">
        <f t="shared" ref="D25:D27" si="11">C25*25%</f>
        <v>0</v>
      </c>
      <c r="E25" s="263">
        <f t="shared" ref="E25:E27" si="12">D25+C25</f>
        <v>0</v>
      </c>
      <c r="F25" s="250">
        <f t="shared" ref="F25:F27" si="13">C25*B25</f>
        <v>0</v>
      </c>
      <c r="G25" s="251">
        <f t="shared" ref="G25:G27" si="14">E25*B25</f>
        <v>0</v>
      </c>
      <c r="H25" s="264">
        <f>D25*B25</f>
        <v>0</v>
      </c>
    </row>
    <row r="26" spans="1:8">
      <c r="A26" s="112"/>
      <c r="B26" s="58"/>
      <c r="C26" s="107"/>
      <c r="D26" s="262">
        <f t="shared" si="11"/>
        <v>0</v>
      </c>
      <c r="E26" s="263">
        <f t="shared" si="12"/>
        <v>0</v>
      </c>
      <c r="F26" s="250">
        <f t="shared" si="13"/>
        <v>0</v>
      </c>
      <c r="G26" s="251">
        <f t="shared" si="14"/>
        <v>0</v>
      </c>
      <c r="H26" s="264">
        <f>D26*B26</f>
        <v>0</v>
      </c>
    </row>
    <row r="27" spans="1:8">
      <c r="A27" s="112"/>
      <c r="B27" s="58"/>
      <c r="C27" s="107"/>
      <c r="D27" s="262">
        <f t="shared" si="11"/>
        <v>0</v>
      </c>
      <c r="E27" s="263">
        <f t="shared" si="12"/>
        <v>0</v>
      </c>
      <c r="F27" s="250">
        <f t="shared" si="13"/>
        <v>0</v>
      </c>
      <c r="G27" s="251">
        <f t="shared" si="14"/>
        <v>0</v>
      </c>
      <c r="H27" s="264">
        <f>D27*B27</f>
        <v>0</v>
      </c>
    </row>
    <row r="28" spans="1:8">
      <c r="A28" s="93"/>
      <c r="B28" s="58"/>
      <c r="C28" s="61"/>
      <c r="D28" s="265"/>
      <c r="E28" s="266" t="s">
        <v>9</v>
      </c>
      <c r="F28" s="267">
        <f>SUM(F24:F27)</f>
        <v>0</v>
      </c>
      <c r="G28" s="267">
        <f t="shared" ref="G28:H28" si="15">SUM(G24:G27)</f>
        <v>0</v>
      </c>
      <c r="H28" s="267">
        <f t="shared" si="15"/>
        <v>0</v>
      </c>
    </row>
    <row r="29" spans="1:8">
      <c r="A29" s="94"/>
      <c r="B29" s="95"/>
      <c r="C29" s="96"/>
      <c r="D29" s="268"/>
      <c r="E29" s="269"/>
      <c r="F29" s="269"/>
      <c r="G29" s="269"/>
      <c r="H29" s="240"/>
    </row>
    <row r="30" spans="1:8" ht="21">
      <c r="A30" s="86" t="s">
        <v>31</v>
      </c>
      <c r="B30" s="87"/>
      <c r="C30" s="87"/>
      <c r="D30" s="237"/>
      <c r="E30" s="237"/>
      <c r="F30" s="237"/>
      <c r="G30" s="237"/>
      <c r="H30" s="238"/>
    </row>
    <row r="31" spans="1:8">
      <c r="A31" s="110"/>
      <c r="B31" s="58"/>
      <c r="C31" s="107"/>
      <c r="D31" s="262">
        <f>C31*50%</f>
        <v>0</v>
      </c>
      <c r="E31" s="263">
        <f t="shared" ref="E31:E34" si="16">D31+C31</f>
        <v>0</v>
      </c>
      <c r="F31" s="250">
        <f>C31*B31</f>
        <v>0</v>
      </c>
      <c r="G31" s="251">
        <f>E31*B31</f>
        <v>0</v>
      </c>
      <c r="H31" s="264">
        <f>D31*B31</f>
        <v>0</v>
      </c>
    </row>
    <row r="32" spans="1:8">
      <c r="A32" s="110"/>
      <c r="B32" s="58"/>
      <c r="C32" s="107"/>
      <c r="D32" s="262">
        <f t="shared" ref="D32:D33" si="17">C32*50%</f>
        <v>0</v>
      </c>
      <c r="E32" s="263">
        <f t="shared" si="16"/>
        <v>0</v>
      </c>
      <c r="F32" s="250">
        <f t="shared" ref="F32:F34" si="18">C32*B32</f>
        <v>0</v>
      </c>
      <c r="G32" s="251">
        <f t="shared" ref="G32:G34" si="19">E32*B32</f>
        <v>0</v>
      </c>
      <c r="H32" s="264">
        <f t="shared" ref="H32:H34" si="20">D32*B32</f>
        <v>0</v>
      </c>
    </row>
    <row r="33" spans="4:8">
      <c r="D33" s="262">
        <f t="shared" si="17"/>
        <v>0</v>
      </c>
      <c r="E33" s="263">
        <f t="shared" si="16"/>
        <v>0</v>
      </c>
      <c r="F33" s="250">
        <f t="shared" si="18"/>
        <v>0</v>
      </c>
      <c r="G33" s="251">
        <f t="shared" si="19"/>
        <v>0</v>
      </c>
      <c r="H33" s="264">
        <f t="shared" si="20"/>
        <v>0</v>
      </c>
    </row>
    <row r="34" spans="4:8">
      <c r="D34" s="262"/>
      <c r="E34" s="263">
        <f t="shared" si="16"/>
        <v>0</v>
      </c>
      <c r="F34" s="250">
        <f t="shared" si="18"/>
        <v>0</v>
      </c>
      <c r="G34" s="251">
        <f t="shared" si="19"/>
        <v>0</v>
      </c>
      <c r="H34" s="264">
        <f t="shared" si="20"/>
        <v>0</v>
      </c>
    </row>
    <row r="35" spans="4:8">
      <c r="D35" s="142"/>
      <c r="E35" s="270" t="s">
        <v>9</v>
      </c>
      <c r="F35" s="244">
        <f>SUM(F31:F34)</f>
        <v>0</v>
      </c>
      <c r="G35" s="244">
        <f>SUM(G31:G34)</f>
        <v>0</v>
      </c>
      <c r="H35" s="244">
        <f>SUM(H31:H34)</f>
        <v>0</v>
      </c>
    </row>
    <row r="36" spans="4:8" ht="8.25" customHeight="1">
      <c r="D36" s="245"/>
      <c r="E36" s="271"/>
      <c r="F36" s="260"/>
      <c r="G36" s="260"/>
      <c r="H36" s="261"/>
    </row>
    <row r="37" spans="4:8">
      <c r="D37" s="142"/>
      <c r="E37" s="239"/>
      <c r="F37" s="239" t="s">
        <v>2</v>
      </c>
      <c r="G37" s="239" t="s">
        <v>13</v>
      </c>
      <c r="H37" s="239" t="s">
        <v>69</v>
      </c>
    </row>
    <row r="38" spans="4:8">
      <c r="D38" s="142"/>
      <c r="E38" s="272" t="s">
        <v>76</v>
      </c>
      <c r="F38" s="272">
        <f>F35+F28+F19+F7</f>
        <v>0</v>
      </c>
      <c r="G38" s="272">
        <f t="shared" ref="G38:H38" si="21">G35+G28+G19+G7</f>
        <v>0</v>
      </c>
      <c r="H38" s="272">
        <f t="shared" si="21"/>
        <v>0</v>
      </c>
    </row>
    <row r="39" spans="4:8">
      <c r="D39" s="142"/>
      <c r="E39" s="272" t="s">
        <v>77</v>
      </c>
      <c r="F39" s="272">
        <f>F20</f>
        <v>0</v>
      </c>
      <c r="G39" s="272">
        <f t="shared" ref="G39:H39" si="22">G20</f>
        <v>0</v>
      </c>
      <c r="H39" s="272">
        <f t="shared" si="22"/>
        <v>0</v>
      </c>
    </row>
    <row r="40" spans="4:8">
      <c r="D40" s="142"/>
      <c r="E40" s="272" t="s">
        <v>78</v>
      </c>
      <c r="F40" s="272">
        <f>SUM(F38:F39)</f>
        <v>0</v>
      </c>
      <c r="G40" s="272">
        <f t="shared" ref="G40:H40" si="23">SUM(G38:G39)</f>
        <v>0</v>
      </c>
      <c r="H40" s="272">
        <f t="shared" si="23"/>
        <v>0</v>
      </c>
    </row>
    <row r="41" spans="4:8">
      <c r="D41" s="142"/>
      <c r="E41" s="272" t="s">
        <v>21</v>
      </c>
      <c r="F41" s="272">
        <f>F40*15%</f>
        <v>0</v>
      </c>
      <c r="G41" s="272">
        <f t="shared" ref="G41" si="24">G40*15%</f>
        <v>0</v>
      </c>
      <c r="H41" s="272"/>
    </row>
    <row r="42" spans="4:8">
      <c r="D42" s="142"/>
      <c r="E42" s="272" t="s">
        <v>22</v>
      </c>
      <c r="F42" s="272">
        <f>F41+F40</f>
        <v>0</v>
      </c>
      <c r="G42" s="272">
        <f t="shared" ref="G42:H42" si="25">G41+G40</f>
        <v>0</v>
      </c>
      <c r="H42" s="272">
        <f t="shared" si="25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A148-0278-43B4-8AD5-C7A917CEC467}">
  <dimension ref="A1:E37"/>
  <sheetViews>
    <sheetView workbookViewId="0">
      <selection activeCell="A2" sqref="A2:E2"/>
    </sheetView>
  </sheetViews>
  <sheetFormatPr defaultRowHeight="15"/>
  <cols>
    <col min="1" max="1" width="6" customWidth="1"/>
    <col min="2" max="2" width="62" customWidth="1"/>
    <col min="3" max="3" width="11.28515625" customWidth="1"/>
    <col min="4" max="4" width="5.5703125" customWidth="1"/>
    <col min="5" max="5" width="13.85546875" customWidth="1"/>
  </cols>
  <sheetData>
    <row r="1" spans="1:5" ht="25.5">
      <c r="A1" s="509"/>
      <c r="B1" s="510"/>
      <c r="C1" s="510"/>
      <c r="D1" s="510"/>
      <c r="E1" s="510"/>
    </row>
    <row r="2" spans="1:5" ht="22.5">
      <c r="A2" s="511" t="s">
        <v>82</v>
      </c>
      <c r="B2" s="511"/>
      <c r="C2" s="511"/>
      <c r="D2" s="511"/>
      <c r="E2" s="511"/>
    </row>
    <row r="3" spans="1:5">
      <c r="A3" s="38" t="s">
        <v>0</v>
      </c>
      <c r="B3" s="97" t="s">
        <v>24</v>
      </c>
      <c r="C3" s="98" t="s">
        <v>25</v>
      </c>
      <c r="D3" s="99" t="s">
        <v>1</v>
      </c>
      <c r="E3" s="98" t="s">
        <v>26</v>
      </c>
    </row>
    <row r="4" spans="1:5">
      <c r="A4" s="100"/>
      <c r="B4" s="105" t="s">
        <v>73</v>
      </c>
      <c r="C4" s="101"/>
      <c r="D4" s="42"/>
      <c r="E4" s="43"/>
    </row>
    <row r="5" spans="1:5">
      <c r="A5" s="102"/>
      <c r="B5" s="103"/>
      <c r="C5" s="277">
        <f>Intercom!E3</f>
        <v>0</v>
      </c>
      <c r="D5" s="201">
        <f>Intercom!B3</f>
        <v>0</v>
      </c>
      <c r="E5" s="277">
        <f>C5*D5</f>
        <v>0</v>
      </c>
    </row>
    <row r="6" spans="1:5">
      <c r="A6" s="102"/>
      <c r="B6" s="103"/>
      <c r="C6" s="277">
        <f>Intercom!E4</f>
        <v>0</v>
      </c>
      <c r="D6" s="201">
        <f>Intercom!B4</f>
        <v>0</v>
      </c>
      <c r="E6" s="277">
        <f t="shared" ref="E6:E8" si="0">C6*D6</f>
        <v>0</v>
      </c>
    </row>
    <row r="7" spans="1:5">
      <c r="A7" s="102"/>
      <c r="B7" s="103"/>
      <c r="C7" s="277">
        <f>Intercom!E5</f>
        <v>0</v>
      </c>
      <c r="D7" s="201">
        <f>Intercom!B5</f>
        <v>0</v>
      </c>
      <c r="E7" s="277">
        <f t="shared" si="0"/>
        <v>0</v>
      </c>
    </row>
    <row r="8" spans="1:5">
      <c r="A8" s="102"/>
      <c r="B8" s="103"/>
      <c r="C8" s="277">
        <f>Intercom!E6</f>
        <v>0</v>
      </c>
      <c r="D8" s="201">
        <f>Intercom!B6</f>
        <v>0</v>
      </c>
      <c r="E8" s="277">
        <f t="shared" si="0"/>
        <v>0</v>
      </c>
    </row>
    <row r="9" spans="1:5">
      <c r="A9" s="469"/>
      <c r="B9" s="470"/>
      <c r="C9" s="515" t="s">
        <v>89</v>
      </c>
      <c r="D9" s="516"/>
      <c r="E9" s="278">
        <f>SUM(E5:E8)</f>
        <v>0</v>
      </c>
    </row>
    <row r="10" spans="1:5">
      <c r="A10" s="102"/>
      <c r="B10" s="105" t="s">
        <v>70</v>
      </c>
      <c r="C10" s="279"/>
      <c r="D10" s="200"/>
      <c r="E10" s="280"/>
    </row>
    <row r="11" spans="1:5">
      <c r="A11" s="102"/>
      <c r="B11" s="103"/>
      <c r="C11" s="281">
        <f>Intercom!E11</f>
        <v>0</v>
      </c>
      <c r="D11" s="201">
        <f>Intercom!B11</f>
        <v>0</v>
      </c>
      <c r="E11" s="277">
        <f>C11*D11</f>
        <v>0</v>
      </c>
    </row>
    <row r="12" spans="1:5">
      <c r="A12" s="102"/>
      <c r="B12" s="103"/>
      <c r="C12" s="281">
        <f>Intercom!E12</f>
        <v>0</v>
      </c>
      <c r="D12" s="201">
        <f>Intercom!B12</f>
        <v>0</v>
      </c>
      <c r="E12" s="277">
        <f t="shared" ref="E12:E17" si="1">C12*D12</f>
        <v>0</v>
      </c>
    </row>
    <row r="13" spans="1:5">
      <c r="A13" s="102"/>
      <c r="B13" s="103"/>
      <c r="C13" s="281">
        <f>Intercom!E13</f>
        <v>0</v>
      </c>
      <c r="D13" s="201">
        <f>Intercom!B13</f>
        <v>0</v>
      </c>
      <c r="E13" s="277">
        <f t="shared" si="1"/>
        <v>0</v>
      </c>
    </row>
    <row r="14" spans="1:5">
      <c r="A14" s="102"/>
      <c r="B14" s="103"/>
      <c r="C14" s="281">
        <f>Intercom!E14</f>
        <v>0</v>
      </c>
      <c r="D14" s="201">
        <f>Intercom!B14</f>
        <v>0</v>
      </c>
      <c r="E14" s="277">
        <f t="shared" si="1"/>
        <v>0</v>
      </c>
    </row>
    <row r="15" spans="1:5">
      <c r="A15" s="102"/>
      <c r="B15" s="103"/>
      <c r="C15" s="281">
        <f>Intercom!E15</f>
        <v>0</v>
      </c>
      <c r="D15" s="201">
        <f>Intercom!B15</f>
        <v>0</v>
      </c>
      <c r="E15" s="277">
        <f>C15*D15</f>
        <v>0</v>
      </c>
    </row>
    <row r="16" spans="1:5">
      <c r="A16" s="102"/>
      <c r="B16" s="103"/>
      <c r="C16" s="281">
        <f>Intercom!E16</f>
        <v>0</v>
      </c>
      <c r="D16" s="201">
        <f>Intercom!B16</f>
        <v>0</v>
      </c>
      <c r="E16" s="277">
        <f t="shared" si="1"/>
        <v>0</v>
      </c>
    </row>
    <row r="17" spans="1:5">
      <c r="A17" s="102"/>
      <c r="B17" s="103"/>
      <c r="C17" s="281">
        <f>Intercom!E17</f>
        <v>0</v>
      </c>
      <c r="D17" s="201">
        <f>Intercom!B17</f>
        <v>0</v>
      </c>
      <c r="E17" s="277">
        <f t="shared" si="1"/>
        <v>0</v>
      </c>
    </row>
    <row r="18" spans="1:5">
      <c r="A18" s="469"/>
      <c r="B18" s="474"/>
      <c r="C18" s="519" t="s">
        <v>102</v>
      </c>
      <c r="D18" s="520"/>
      <c r="E18" s="278">
        <f>SUM(E11:E17)</f>
        <v>0</v>
      </c>
    </row>
    <row r="19" spans="1:5">
      <c r="A19" s="102"/>
      <c r="B19" s="105" t="s">
        <v>74</v>
      </c>
      <c r="C19" s="279"/>
      <c r="D19" s="200"/>
      <c r="E19" s="280"/>
    </row>
    <row r="20" spans="1:5">
      <c r="A20" s="102"/>
      <c r="B20" s="106"/>
      <c r="C20" s="277">
        <f>Intercom!E24</f>
        <v>0</v>
      </c>
      <c r="D20" s="201">
        <f>Intercom!B24</f>
        <v>0</v>
      </c>
      <c r="E20" s="277">
        <f>C20*D20</f>
        <v>0</v>
      </c>
    </row>
    <row r="21" spans="1:5">
      <c r="A21" s="102"/>
      <c r="B21" s="106"/>
      <c r="C21" s="277">
        <f>Intercom!E25</f>
        <v>0</v>
      </c>
      <c r="D21" s="201">
        <f>Intercom!B25</f>
        <v>0</v>
      </c>
      <c r="E21" s="277">
        <f t="shared" ref="E21:E23" si="2">C21*D21</f>
        <v>0</v>
      </c>
    </row>
    <row r="22" spans="1:5">
      <c r="A22" s="102"/>
      <c r="B22" s="106"/>
      <c r="C22" s="277">
        <f>Intercom!E26</f>
        <v>0</v>
      </c>
      <c r="D22" s="201">
        <f>Intercom!B26</f>
        <v>0</v>
      </c>
      <c r="E22" s="277">
        <f t="shared" si="2"/>
        <v>0</v>
      </c>
    </row>
    <row r="23" spans="1:5">
      <c r="A23" s="102"/>
      <c r="B23" s="106"/>
      <c r="C23" s="277">
        <f>Intercom!E27</f>
        <v>0</v>
      </c>
      <c r="D23" s="201">
        <f>Intercom!B27</f>
        <v>0</v>
      </c>
      <c r="E23" s="277">
        <f t="shared" si="2"/>
        <v>0</v>
      </c>
    </row>
    <row r="24" spans="1:5">
      <c r="A24" s="469"/>
      <c r="B24" s="474"/>
      <c r="C24" s="517" t="s">
        <v>101</v>
      </c>
      <c r="D24" s="518"/>
      <c r="E24" s="278">
        <f>SUM(E20:E23)</f>
        <v>0</v>
      </c>
    </row>
    <row r="25" spans="1:5">
      <c r="A25" s="102"/>
      <c r="B25" s="105" t="s">
        <v>31</v>
      </c>
      <c r="C25" s="280"/>
      <c r="D25" s="200"/>
      <c r="E25" s="280"/>
    </row>
    <row r="26" spans="1:5">
      <c r="A26" s="102"/>
      <c r="B26" s="106"/>
      <c r="C26" s="277">
        <f>Intercom!E31</f>
        <v>0</v>
      </c>
      <c r="D26" s="201">
        <f>Intercom!B31</f>
        <v>0</v>
      </c>
      <c r="E26" s="277">
        <f>C26*D26</f>
        <v>0</v>
      </c>
    </row>
    <row r="27" spans="1:5">
      <c r="A27" s="102"/>
      <c r="B27" s="106"/>
      <c r="C27" s="277">
        <f>Intercom!E32</f>
        <v>0</v>
      </c>
      <c r="D27" s="201">
        <f>Intercom!B32</f>
        <v>0</v>
      </c>
      <c r="E27" s="277">
        <f t="shared" ref="E27:E28" si="3">C27*D27</f>
        <v>0</v>
      </c>
    </row>
    <row r="28" spans="1:5">
      <c r="A28" s="102"/>
      <c r="B28" s="106"/>
      <c r="C28" s="277">
        <f>Intercom!E33</f>
        <v>0</v>
      </c>
      <c r="D28" s="201">
        <f>Intercom!B33</f>
        <v>0</v>
      </c>
      <c r="E28" s="277">
        <f t="shared" si="3"/>
        <v>0</v>
      </c>
    </row>
    <row r="29" spans="1:5">
      <c r="A29" s="469"/>
      <c r="B29" s="474"/>
      <c r="C29" s="517" t="s">
        <v>91</v>
      </c>
      <c r="D29" s="518"/>
      <c r="E29" s="278">
        <f>SUM(E26:E28)</f>
        <v>0</v>
      </c>
    </row>
    <row r="30" spans="1:5">
      <c r="A30" s="100"/>
      <c r="B30" s="40" t="s">
        <v>20</v>
      </c>
      <c r="C30" s="280"/>
      <c r="D30" s="200"/>
      <c r="E30" s="280"/>
    </row>
    <row r="31" spans="1:5">
      <c r="A31" s="102"/>
      <c r="B31" s="44"/>
      <c r="C31" s="281">
        <f>Intercom!E18</f>
        <v>0</v>
      </c>
      <c r="D31" s="201">
        <v>1</v>
      </c>
      <c r="E31" s="277">
        <f>C31*D31</f>
        <v>0</v>
      </c>
    </row>
    <row r="32" spans="1:5">
      <c r="A32" s="102"/>
      <c r="B32" s="44"/>
      <c r="C32" s="277">
        <f>Intercom!F39</f>
        <v>0</v>
      </c>
      <c r="D32" s="201">
        <v>1</v>
      </c>
      <c r="E32" s="277">
        <f>C32*D32</f>
        <v>0</v>
      </c>
    </row>
    <row r="33" spans="1:5" ht="18" customHeight="1">
      <c r="A33" s="154"/>
      <c r="B33" s="155"/>
      <c r="C33" s="512" t="s">
        <v>103</v>
      </c>
      <c r="D33" s="512"/>
      <c r="E33" s="282">
        <f>SUM(E31:E32)</f>
        <v>0</v>
      </c>
    </row>
    <row r="34" spans="1:5" ht="9" customHeight="1">
      <c r="A34" s="126"/>
      <c r="B34" s="128"/>
      <c r="C34" s="521"/>
      <c r="D34" s="522"/>
      <c r="E34" s="523"/>
    </row>
    <row r="35" spans="1:5" ht="19.5" customHeight="1">
      <c r="A35" s="508"/>
      <c r="B35" s="508"/>
      <c r="C35" s="524" t="s">
        <v>19</v>
      </c>
      <c r="D35" s="524"/>
      <c r="E35" s="282">
        <f>E33+E29+E24+E18+E9</f>
        <v>0</v>
      </c>
    </row>
    <row r="36" spans="1:5" ht="15.75">
      <c r="A36" s="508"/>
      <c r="B36" s="508"/>
      <c r="C36" s="513" t="s">
        <v>21</v>
      </c>
      <c r="D36" s="513"/>
      <c r="E36" s="283">
        <f>E35*15%</f>
        <v>0</v>
      </c>
    </row>
    <row r="37" spans="1:5" ht="19.5" customHeight="1">
      <c r="A37" s="508"/>
      <c r="B37" s="508"/>
      <c r="C37" s="514" t="s">
        <v>79</v>
      </c>
      <c r="D37" s="514"/>
      <c r="E37" s="284">
        <f>SUM(E35:E36)</f>
        <v>0</v>
      </c>
    </row>
  </sheetData>
  <mergeCells count="16">
    <mergeCell ref="A35:B37"/>
    <mergeCell ref="A1:E1"/>
    <mergeCell ref="A2:E2"/>
    <mergeCell ref="C33:D33"/>
    <mergeCell ref="C36:D36"/>
    <mergeCell ref="C37:D37"/>
    <mergeCell ref="A9:B9"/>
    <mergeCell ref="C9:D9"/>
    <mergeCell ref="A18:B18"/>
    <mergeCell ref="A24:B24"/>
    <mergeCell ref="A29:B29"/>
    <mergeCell ref="C29:D29"/>
    <mergeCell ref="C24:D24"/>
    <mergeCell ref="C18:D18"/>
    <mergeCell ref="C34:E34"/>
    <mergeCell ref="C35:D35"/>
  </mergeCells>
  <pageMargins left="0.375" right="0.36458333333333331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55f9b3-5905-4721-805f-35684b5e0ce0">
      <Terms xmlns="http://schemas.microsoft.com/office/infopath/2007/PartnerControls"/>
    </lcf76f155ced4ddcb4097134ff3c332f>
    <TaxCatchAll xmlns="064abe47-5fa1-41a8-868e-1d8dd48efc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0D8E91D92BB6448007E878540EA509" ma:contentTypeVersion="17" ma:contentTypeDescription="Create a new document." ma:contentTypeScope="" ma:versionID="e05fd83e9fc74deef17d5877fd4206cb">
  <xsd:schema xmlns:xsd="http://www.w3.org/2001/XMLSchema" xmlns:xs="http://www.w3.org/2001/XMLSchema" xmlns:p="http://schemas.microsoft.com/office/2006/metadata/properties" xmlns:ns2="4655f9b3-5905-4721-805f-35684b5e0ce0" xmlns:ns3="064abe47-5fa1-41a8-868e-1d8dd48efcb8" targetNamespace="http://schemas.microsoft.com/office/2006/metadata/properties" ma:root="true" ma:fieldsID="6f1e5ab0a614e04b3d748f72b67ec14b" ns2:_="" ns3:_="">
    <xsd:import namespace="4655f9b3-5905-4721-805f-35684b5e0ce0"/>
    <xsd:import namespace="064abe47-5fa1-41a8-868e-1d8dd48efc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5f9b3-5905-4721-805f-35684b5e0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c45274-786c-4d68-b4a5-26be6d542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4abe47-5fa1-41a8-868e-1d8dd48efcb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0db640d-af5b-4dd6-909b-3d950bbbd800}" ma:internalName="TaxCatchAll" ma:showField="CatchAllData" ma:web="064abe47-5fa1-41a8-868e-1d8dd48efc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8F8D98-F186-4C87-9022-0ED5CBCA14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4775DD-E76F-4D3F-B099-C28D9D666FC0}">
  <ds:schemaRefs>
    <ds:schemaRef ds:uri="http://schemas.microsoft.com/office/2006/metadata/properties"/>
    <ds:schemaRef ds:uri="http://schemas.microsoft.com/office/infopath/2007/PartnerControls"/>
    <ds:schemaRef ds:uri="bf93f299-5b58-4b85-b205-c00be711f128"/>
    <ds:schemaRef ds:uri="83393109-73bd-49a3-9417-c1b4a73018de"/>
    <ds:schemaRef ds:uri="4655f9b3-5905-4721-805f-35684b5e0ce0"/>
    <ds:schemaRef ds:uri="064abe47-5fa1-41a8-868e-1d8dd48efcb8"/>
  </ds:schemaRefs>
</ds:datastoreItem>
</file>

<file path=customXml/itemProps3.xml><?xml version="1.0" encoding="utf-8"?>
<ds:datastoreItem xmlns:ds="http://schemas.openxmlformats.org/officeDocument/2006/customXml" ds:itemID="{62F5E9DA-20E4-4C21-8911-16577320D9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Synthesis </vt:lpstr>
      <vt:lpstr>VSS</vt:lpstr>
      <vt:lpstr>Workbook VSS</vt:lpstr>
      <vt:lpstr>VSS BoM</vt:lpstr>
      <vt:lpstr>EAC</vt:lpstr>
      <vt:lpstr>Workbook EAC</vt:lpstr>
      <vt:lpstr>EAC BoM</vt:lpstr>
      <vt:lpstr>Intercom</vt:lpstr>
      <vt:lpstr>Intercom BoM</vt:lpstr>
      <vt:lpstr>'Synthesis '!Print_Area</vt:lpstr>
      <vt:lpstr>'Synthesis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Rodrick  Williams</cp:lastModifiedBy>
  <dcterms:created xsi:type="dcterms:W3CDTF">2021-10-04T16:32:05Z</dcterms:created>
  <dcterms:modified xsi:type="dcterms:W3CDTF">2026-07-02T15:35:38Z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0x0101003C0D8E91D92BB6448007E878540EA509</vt:lpwstr>
  </property>
  <property fmtid="{D5CDD505-2E9C-101B-9397-08002B2CF9AE}" pid="3" name="MediaServiceImageTags">
    <vt:lpwstr/>
  </property>
</Properties>
</file>